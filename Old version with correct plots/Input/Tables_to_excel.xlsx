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nthesisllc-my.sharepoint.com/personal/lovisa_areback_anthesisgroup_com/Documents/Dokument/GitHub/CBA_GBG_PROT/Input/"/>
    </mc:Choice>
  </mc:AlternateContent>
  <xr:revisionPtr revIDLastSave="59" documentId="13_ncr:1_{AB9C1AF9-25C2-430B-9DAE-CE575E04C5C8}" xr6:coauthVersionLast="47" xr6:coauthVersionMax="47" xr10:uidLastSave="{1FDFF9B1-541F-4107-9350-85835A6D7CAC}"/>
  <bookViews>
    <workbookView minimized="1" xWindow="-49200" yWindow="-2925" windowWidth="48375" windowHeight="17550" xr2:uid="{5DB34052-CAC2-43E0-8487-948EF71C5CB7}"/>
  </bookViews>
  <sheets>
    <sheet name="Sheet1" sheetId="1" r:id="rId1"/>
  </sheets>
  <externalReferences>
    <externalReference r:id="rId2"/>
    <externalReference r:id="rId3"/>
    <externalReference r:id="rId4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3" i="1" l="1"/>
  <c r="B22" i="1" l="1"/>
  <c r="F22" i="1"/>
  <c r="D21" i="1"/>
  <c r="C21" i="1"/>
  <c r="B21" i="1"/>
  <c r="F20" i="1"/>
  <c r="F21" i="1"/>
  <c r="B20" i="1"/>
  <c r="D22" i="1"/>
  <c r="D20" i="1"/>
  <c r="C20" i="1"/>
  <c r="D38" i="1"/>
  <c r="D37" i="1"/>
  <c r="D36" i="1"/>
  <c r="D35" i="1"/>
  <c r="D34" i="1"/>
  <c r="A33" i="1"/>
  <c r="C34" i="1"/>
  <c r="C33" i="1"/>
  <c r="F15" i="1"/>
  <c r="F16" i="1"/>
  <c r="F14" i="1"/>
  <c r="E15" i="1"/>
  <c r="E16" i="1"/>
  <c r="E14" i="1"/>
  <c r="D14" i="1"/>
  <c r="C14" i="1"/>
  <c r="B14" i="1"/>
  <c r="A14" i="1"/>
  <c r="F4" i="1"/>
  <c r="F5" i="1"/>
  <c r="F3" i="1"/>
  <c r="A5" i="1"/>
  <c r="A4" i="1"/>
  <c r="C5" i="1"/>
  <c r="C4" i="1"/>
  <c r="D4" i="1"/>
  <c r="D5" i="1"/>
  <c r="D3" i="1"/>
  <c r="A3" i="1"/>
  <c r="C3" i="1"/>
  <c r="I33" i="1" l="1"/>
</calcChain>
</file>

<file path=xl/sharedStrings.xml><?xml version="1.0" encoding="utf-8"?>
<sst xmlns="http://schemas.openxmlformats.org/spreadsheetml/2006/main" count="65" uniqueCount="42">
  <si>
    <t>Eco_region</t>
  </si>
  <si>
    <t>Country</t>
  </si>
  <si>
    <t>Year</t>
  </si>
  <si>
    <t>Morb_cost_item</t>
  </si>
  <si>
    <t>Health_outcome</t>
  </si>
  <si>
    <t>Morb_value</t>
  </si>
  <si>
    <t>Morb_cost_level</t>
  </si>
  <si>
    <t>etc</t>
  </si>
  <si>
    <t>keep open</t>
  </si>
  <si>
    <t>repeat above</t>
  </si>
  <si>
    <t>FIX</t>
  </si>
  <si>
    <t>(data contains no level variance)</t>
  </si>
  <si>
    <t xml:space="preserve"> + NORDIC region</t>
  </si>
  <si>
    <t>Pollutant</t>
  </si>
  <si>
    <t>Core</t>
  </si>
  <si>
    <t>Age</t>
  </si>
  <si>
    <t>Morb_eff_level</t>
  </si>
  <si>
    <t>Morb_eff_values</t>
  </si>
  <si>
    <t>behöver harmoniseras</t>
  </si>
  <si>
    <t>Behöver ersättas med Low, Mid, High</t>
  </si>
  <si>
    <t>Behöver ersättas med "PM2.5", samma som i PM2.5 check</t>
  </si>
  <si>
    <t>Landsnamn behöver harmoniseras med länder i AP cost checks, behåll alla eco regions</t>
  </si>
  <si>
    <t>0-18</t>
  </si>
  <si>
    <t>19+</t>
  </si>
  <si>
    <t>0-12</t>
  </si>
  <si>
    <t>1-12 months</t>
  </si>
  <si>
    <t>Pop_values</t>
  </si>
  <si>
    <t>Population tables (pop)</t>
  </si>
  <si>
    <t>SAMMA som ovan, fast från fliken "VALESOR VOLY VSL vQALY", skippa vQALY</t>
  </si>
  <si>
    <t>Health effect baseline incidence rate table column headers + example of cell values</t>
  </si>
  <si>
    <t>Morb_base_values</t>
  </si>
  <si>
    <t>Natural mortality ska döpas om till "all-cause mortality"</t>
  </si>
  <si>
    <t>Hitta rätt bland flikarna</t>
  </si>
  <si>
    <t>en åldersgrupp per health outcome</t>
  </si>
  <si>
    <t xml:space="preserve">(använder senaste statistikår och delar med 14 då jag tagit frekvens per 100 000 för 14 åldersgrupper över 30. </t>
  </si>
  <si>
    <t>Skulle kunna precisera low-mid-high genom att ta minsta, medel, och högsta frekvensen för de år vi har data för</t>
  </si>
  <si>
    <t>FIX?</t>
  </si>
  <si>
    <t>Natural mortality</t>
  </si>
  <si>
    <t>(använder prognos-år 2040 och delar med 100 då jag tagit frekvens per 100 000 för 100 åldersgrupper inkl nyfödda</t>
  </si>
  <si>
    <t>Health morbidity cost table, column headers + example of cell values</t>
  </si>
  <si>
    <t>Health effect mortality cost table, column headers + example of cell values</t>
  </si>
  <si>
    <t>morbidity effect table, column headers + example of cell values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</si>
</sst>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sz val="12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3" fontId="0" fillId="0" borderId="0" xfId="0" applyNumberFormat="1"/>
    <xf numFmtId="0" fontId="1" fillId="0" borderId="0" xfId="0" applyFont="1"/>
    <xf numFmtId="0" fontId="2" fillId="0" borderId="0" xfId="0" applyFont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4" fillId="3" borderId="0" xfId="0" applyFont="1" applyFill="1"/>
    <xf numFmtId="0" fontId="4" fillId="0" borderId="0" xfId="0" applyFont="1"/>
    <xf numFmtId="0" fontId="4" fillId="2" borderId="0" xfId="0" applyFont="1" applyFill="1"/>
    <xf numFmtId="0" fontId="5" fillId="0" borderId="1" xfId="0" applyFont="1" applyBorder="1" applyAlignment="1">
      <alignment vertical="center" wrapText="1"/>
    </xf>
    <xf numFmtId="0" fontId="5" fillId="0" borderId="0" xfId="0" applyFont="1" applyAlignment="1">
      <alignment vertical="center" wrapText="1"/>
    </xf>
    <xf numFmtId="1" fontId="0" fillId="0" borderId="0" xfId="0" applyNumberFormat="1"/>
    <xf numFmtId="1" fontId="4" fillId="0" borderId="0" xfId="0" applyNumberFormat="1" applyFont="1"/>
    <xf numFmtId="0" fontId="3" fillId="6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3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anthesisllc-my.sharepoint.com/personal/lovisa_areback_anthesisgroup_com/Documents/Dokument/GitHub/CBA_GBG_PROT/Input/12.xlsx" TargetMode="External"/><Relationship Id="rId1" Type="http://schemas.openxmlformats.org/officeDocument/2006/relationships/externalLinkPath" Target="12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anthesisllc-my.sharepoint.com/personal/lovisa_areback_anthesisgroup_com/Documents/Dokument/GitHub/CBA_GBG_PROT/Input/9.xlsx" TargetMode="External"/><Relationship Id="rId1" Type="http://schemas.openxmlformats.org/officeDocument/2006/relationships/externalLinkPath" Target="9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anthesisllc-my.sharepoint.com/personal/lovisa_areback_anthesisgroup_com/Documents/Dokument/GitHub/CBA_GBG_PROT/Input/8.xlsx" TargetMode="External"/><Relationship Id="rId1" Type="http://schemas.openxmlformats.org/officeDocument/2006/relationships/externalLinkPath" Target="8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FO"/>
      <sheetName val="VALESOR Morbidity"/>
      <sheetName val="VALESOR VOLY VSL vQALY"/>
      <sheetName val="Countries"/>
    </sheetNames>
    <sheetDataSet>
      <sheetData sheetId="0"/>
      <sheetData sheetId="1">
        <row r="1">
          <cell r="C1" t="str">
            <v>Healthcare</v>
          </cell>
          <cell r="D1" t="str">
            <v>Productivity loss</v>
          </cell>
          <cell r="E1" t="str">
            <v>Disutility</v>
          </cell>
        </row>
        <row r="2">
          <cell r="A2" t="str">
            <v>Albania</v>
          </cell>
          <cell r="B2" t="str">
            <v>ALRI in children</v>
          </cell>
          <cell r="C2">
            <v>20</v>
          </cell>
          <cell r="D2">
            <v>20</v>
          </cell>
          <cell r="E2">
            <v>20</v>
          </cell>
        </row>
      </sheetData>
      <sheetData sheetId="2"/>
      <sheetData sheetId="3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FO"/>
      <sheetName val="AIR"/>
      <sheetName val="CHEM"/>
      <sheetName val="QALY"/>
      <sheetName val="Sources"/>
    </sheetNames>
    <sheetDataSet>
      <sheetData sheetId="0"/>
      <sheetData sheetId="1">
        <row r="1">
          <cell r="N1" t="str">
            <v>ERF_L</v>
          </cell>
          <cell r="O1" t="str">
            <v>ERF_C</v>
          </cell>
          <cell r="P1" t="str">
            <v>ERF_H</v>
          </cell>
        </row>
        <row r="2">
          <cell r="B2" t="str">
            <v>Fine particles (PM2.5)</v>
          </cell>
          <cell r="D2" t="str">
            <v>Core</v>
          </cell>
          <cell r="F2" t="str">
            <v>Natural mortality</v>
          </cell>
          <cell r="M2" t="str">
            <v>30+</v>
          </cell>
          <cell r="N2">
            <v>1.0640000000000001</v>
          </cell>
          <cell r="O2">
            <v>1.095</v>
          </cell>
          <cell r="P2">
            <v>1.127</v>
          </cell>
        </row>
        <row r="3">
          <cell r="M3" t="str">
            <v>All</v>
          </cell>
        </row>
      </sheetData>
      <sheetData sheetId="2"/>
      <sheetData sheetId="3"/>
      <sheetData sheetId="4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FO"/>
      <sheetName val="Population"/>
      <sheetName val="Deaths"/>
      <sheetName val="All-cause mortality"/>
      <sheetName val="Post-n_Infant mortality"/>
      <sheetName val="Cause-specific mortality"/>
      <sheetName val="Morbidity"/>
      <sheetName val="Hospital admissions"/>
    </sheetNames>
    <sheetDataSet>
      <sheetData sheetId="0"/>
      <sheetData sheetId="1">
        <row r="3">
          <cell r="B3" t="str">
            <v>Austria</v>
          </cell>
        </row>
        <row r="1914">
          <cell r="E1914">
            <v>68830</v>
          </cell>
          <cell r="F1914">
            <v>68892</v>
          </cell>
          <cell r="G1914">
            <v>68991</v>
          </cell>
          <cell r="H1914">
            <v>69172</v>
          </cell>
          <cell r="I1914">
            <v>69485</v>
          </cell>
          <cell r="J1914">
            <v>69946</v>
          </cell>
          <cell r="K1914">
            <v>70502</v>
          </cell>
          <cell r="L1914">
            <v>71166</v>
          </cell>
          <cell r="M1914">
            <v>71955</v>
          </cell>
          <cell r="N1914">
            <v>72903</v>
          </cell>
          <cell r="O1914">
            <v>74028</v>
          </cell>
          <cell r="P1914">
            <v>75206</v>
          </cell>
          <cell r="Q1914">
            <v>76340</v>
          </cell>
          <cell r="R1914">
            <v>77397</v>
          </cell>
          <cell r="S1914">
            <v>78367</v>
          </cell>
          <cell r="T1914">
            <v>79299</v>
          </cell>
          <cell r="U1914">
            <v>80267</v>
          </cell>
          <cell r="V1914">
            <v>84397</v>
          </cell>
          <cell r="W1914">
            <v>90730</v>
          </cell>
          <cell r="X1914">
            <v>93686</v>
          </cell>
          <cell r="Y1914">
            <v>95030</v>
          </cell>
          <cell r="Z1914">
            <v>98804</v>
          </cell>
          <cell r="AA1914">
            <v>103427</v>
          </cell>
          <cell r="AB1914">
            <v>106298</v>
          </cell>
          <cell r="AC1914">
            <v>106150</v>
          </cell>
          <cell r="AD1914">
            <v>104888</v>
          </cell>
          <cell r="AE1914">
            <v>103563</v>
          </cell>
          <cell r="AF1914">
            <v>102480</v>
          </cell>
          <cell r="AG1914">
            <v>101971</v>
          </cell>
          <cell r="AH1914">
            <v>101689</v>
          </cell>
          <cell r="AI1914">
            <v>100729</v>
          </cell>
          <cell r="AJ1914">
            <v>100007</v>
          </cell>
          <cell r="AK1914">
            <v>99665</v>
          </cell>
          <cell r="AL1914">
            <v>99219</v>
          </cell>
          <cell r="AM1914">
            <v>99107</v>
          </cell>
          <cell r="AN1914">
            <v>98324</v>
          </cell>
          <cell r="AO1914">
            <v>96208</v>
          </cell>
          <cell r="AP1914">
            <v>94402</v>
          </cell>
          <cell r="AQ1914">
            <v>92841</v>
          </cell>
          <cell r="AR1914">
            <v>93280</v>
          </cell>
          <cell r="AS1914">
            <v>95920</v>
          </cell>
          <cell r="AT1914">
            <v>98773</v>
          </cell>
          <cell r="AU1914">
            <v>103221</v>
          </cell>
          <cell r="AV1914">
            <v>108252</v>
          </cell>
          <cell r="AW1914">
            <v>111511</v>
          </cell>
          <cell r="AX1914">
            <v>114231</v>
          </cell>
          <cell r="AY1914">
            <v>118362</v>
          </cell>
          <cell r="AZ1914">
            <v>121528</v>
          </cell>
          <cell r="BA1914">
            <v>123871</v>
          </cell>
          <cell r="BB1914">
            <v>124582</v>
          </cell>
          <cell r="BC1914">
            <v>124023</v>
          </cell>
          <cell r="BD1914">
            <v>123886</v>
          </cell>
          <cell r="BE1914">
            <v>122972</v>
          </cell>
          <cell r="BF1914">
            <v>121766</v>
          </cell>
          <cell r="BG1914">
            <v>121498</v>
          </cell>
          <cell r="BH1914">
            <v>121549</v>
          </cell>
          <cell r="BI1914">
            <v>121394</v>
          </cell>
          <cell r="BJ1914">
            <v>122364</v>
          </cell>
          <cell r="BK1914">
            <v>123001</v>
          </cell>
          <cell r="BL1914">
            <v>120578</v>
          </cell>
          <cell r="BM1914">
            <v>115357</v>
          </cell>
          <cell r="BN1914">
            <v>110739</v>
          </cell>
          <cell r="BO1914">
            <v>108906</v>
          </cell>
          <cell r="BP1914">
            <v>108280</v>
          </cell>
          <cell r="BQ1914">
            <v>109922</v>
          </cell>
          <cell r="BR1914">
            <v>112262</v>
          </cell>
          <cell r="BS1914">
            <v>112530</v>
          </cell>
          <cell r="BT1914">
            <v>114646</v>
          </cell>
          <cell r="BU1914">
            <v>118413</v>
          </cell>
          <cell r="BV1914">
            <v>120419</v>
          </cell>
          <cell r="BW1914">
            <v>123969</v>
          </cell>
          <cell r="BX1914">
            <v>127497</v>
          </cell>
          <cell r="BY1914">
            <v>127083</v>
          </cell>
          <cell r="BZ1914">
            <v>124958</v>
          </cell>
          <cell r="CA1914">
            <v>123249</v>
          </cell>
          <cell r="CB1914">
            <v>121720</v>
          </cell>
          <cell r="CC1914">
            <v>119140</v>
          </cell>
          <cell r="CD1914">
            <v>114636</v>
          </cell>
          <cell r="CE1914">
            <v>108946</v>
          </cell>
          <cell r="CF1914">
            <v>102369</v>
          </cell>
          <cell r="CG1914">
            <v>95432</v>
          </cell>
          <cell r="CH1914">
            <v>88367</v>
          </cell>
          <cell r="CI1914">
            <v>81935</v>
          </cell>
          <cell r="CJ1914">
            <v>76398</v>
          </cell>
          <cell r="CK1914">
            <v>68967</v>
          </cell>
          <cell r="CL1914">
            <v>60586</v>
          </cell>
          <cell r="CM1914">
            <v>53680</v>
          </cell>
          <cell r="CN1914">
            <v>47867</v>
          </cell>
          <cell r="CO1914">
            <v>41805</v>
          </cell>
          <cell r="CP1914">
            <v>36575</v>
          </cell>
          <cell r="CQ1914">
            <v>32285</v>
          </cell>
          <cell r="CR1914">
            <v>28014</v>
          </cell>
          <cell r="CS1914">
            <v>23772</v>
          </cell>
          <cell r="CT1914">
            <v>17816</v>
          </cell>
          <cell r="CU1914">
            <v>11731</v>
          </cell>
          <cell r="CV1914">
            <v>9297</v>
          </cell>
          <cell r="CW1914">
            <v>7724</v>
          </cell>
          <cell r="CX1914">
            <v>5521</v>
          </cell>
          <cell r="CY1914">
            <v>4100</v>
          </cell>
          <cell r="CZ1914">
            <v>2999</v>
          </cell>
        </row>
      </sheetData>
      <sheetData sheetId="2"/>
      <sheetData sheetId="3">
        <row r="1914">
          <cell r="B1914" t="str">
            <v>Austria</v>
          </cell>
          <cell r="C1914">
            <v>160</v>
          </cell>
          <cell r="D1914">
            <v>29</v>
          </cell>
          <cell r="E1914">
            <v>12</v>
          </cell>
          <cell r="F1914">
            <v>6</v>
          </cell>
          <cell r="G1914">
            <v>4</v>
          </cell>
          <cell r="H1914">
            <v>3</v>
          </cell>
          <cell r="I1914">
            <v>3</v>
          </cell>
          <cell r="J1914">
            <v>3</v>
          </cell>
          <cell r="K1914">
            <v>3</v>
          </cell>
          <cell r="L1914">
            <v>4</v>
          </cell>
          <cell r="M1914">
            <v>4</v>
          </cell>
          <cell r="N1914">
            <v>4</v>
          </cell>
          <cell r="O1914">
            <v>5</v>
          </cell>
          <cell r="P1914">
            <v>5</v>
          </cell>
          <cell r="Q1914">
            <v>8</v>
          </cell>
          <cell r="R1914">
            <v>9</v>
          </cell>
          <cell r="S1914">
            <v>12</v>
          </cell>
          <cell r="T1914">
            <v>17</v>
          </cell>
          <cell r="U1914">
            <v>19</v>
          </cell>
          <cell r="V1914">
            <v>21</v>
          </cell>
          <cell r="W1914">
            <v>22</v>
          </cell>
          <cell r="X1914">
            <v>22</v>
          </cell>
          <cell r="Y1914">
            <v>22</v>
          </cell>
          <cell r="Z1914">
            <v>22</v>
          </cell>
          <cell r="AA1914">
            <v>22</v>
          </cell>
          <cell r="AB1914">
            <v>23</v>
          </cell>
          <cell r="AC1914">
            <v>24</v>
          </cell>
          <cell r="AD1914">
            <v>25</v>
          </cell>
          <cell r="AE1914">
            <v>25</v>
          </cell>
          <cell r="AF1914">
            <v>27</v>
          </cell>
          <cell r="AG1914">
            <v>29</v>
          </cell>
          <cell r="AH1914">
            <v>30</v>
          </cell>
          <cell r="AI1914">
            <v>33</v>
          </cell>
          <cell r="AJ1914">
            <v>35</v>
          </cell>
          <cell r="AK1914">
            <v>38</v>
          </cell>
          <cell r="AL1914">
            <v>41</v>
          </cell>
          <cell r="AM1914">
            <v>43</v>
          </cell>
          <cell r="AN1914">
            <v>44</v>
          </cell>
          <cell r="AO1914">
            <v>48</v>
          </cell>
          <cell r="AP1914">
            <v>53</v>
          </cell>
          <cell r="AQ1914">
            <v>58</v>
          </cell>
          <cell r="AR1914">
            <v>65</v>
          </cell>
          <cell r="AS1914">
            <v>71</v>
          </cell>
          <cell r="AT1914">
            <v>78</v>
          </cell>
          <cell r="AU1914">
            <v>84</v>
          </cell>
          <cell r="AV1914">
            <v>94</v>
          </cell>
          <cell r="AW1914">
            <v>103</v>
          </cell>
          <cell r="AX1914">
            <v>114</v>
          </cell>
          <cell r="AY1914">
            <v>127</v>
          </cell>
          <cell r="AZ1914">
            <v>140</v>
          </cell>
          <cell r="BA1914">
            <v>154</v>
          </cell>
          <cell r="BB1914">
            <v>172</v>
          </cell>
          <cell r="BC1914">
            <v>194</v>
          </cell>
          <cell r="BD1914">
            <v>218</v>
          </cell>
          <cell r="BE1914">
            <v>248</v>
          </cell>
          <cell r="BF1914">
            <v>280</v>
          </cell>
          <cell r="BG1914">
            <v>312</v>
          </cell>
          <cell r="BH1914">
            <v>347</v>
          </cell>
          <cell r="BI1914">
            <v>380</v>
          </cell>
          <cell r="BJ1914">
            <v>421</v>
          </cell>
          <cell r="BK1914">
            <v>463</v>
          </cell>
          <cell r="BL1914">
            <v>511</v>
          </cell>
          <cell r="BM1914">
            <v>566</v>
          </cell>
          <cell r="BN1914">
            <v>623</v>
          </cell>
          <cell r="BO1914">
            <v>686</v>
          </cell>
          <cell r="BP1914">
            <v>754</v>
          </cell>
          <cell r="BQ1914">
            <v>826</v>
          </cell>
          <cell r="BR1914">
            <v>910</v>
          </cell>
          <cell r="BS1914">
            <v>997</v>
          </cell>
          <cell r="BT1914">
            <v>1088</v>
          </cell>
          <cell r="BU1914">
            <v>1185</v>
          </cell>
          <cell r="BV1914">
            <v>1278</v>
          </cell>
          <cell r="BW1914">
            <v>1379</v>
          </cell>
          <cell r="BX1914">
            <v>1480</v>
          </cell>
          <cell r="BY1914">
            <v>1586</v>
          </cell>
          <cell r="BZ1914">
            <v>1702</v>
          </cell>
          <cell r="CA1914">
            <v>1847</v>
          </cell>
          <cell r="CB1914">
            <v>2027</v>
          </cell>
          <cell r="CC1914">
            <v>2264</v>
          </cell>
          <cell r="CD1914">
            <v>2560</v>
          </cell>
          <cell r="CE1914">
            <v>2929</v>
          </cell>
          <cell r="CF1914">
            <v>3421</v>
          </cell>
          <cell r="CG1914">
            <v>4008</v>
          </cell>
          <cell r="CH1914">
            <v>4724</v>
          </cell>
          <cell r="CI1914">
            <v>5548</v>
          </cell>
          <cell r="CJ1914">
            <v>6546</v>
          </cell>
          <cell r="CK1914">
            <v>7634</v>
          </cell>
          <cell r="CL1914">
            <v>8929</v>
          </cell>
          <cell r="CM1914">
            <v>10343</v>
          </cell>
          <cell r="CN1914">
            <v>12003</v>
          </cell>
          <cell r="CO1914">
            <v>13833</v>
          </cell>
          <cell r="CP1914">
            <v>15863</v>
          </cell>
          <cell r="CQ1914">
            <v>18244</v>
          </cell>
          <cell r="CR1914">
            <v>20964</v>
          </cell>
          <cell r="CS1914">
            <v>23698</v>
          </cell>
          <cell r="CT1914">
            <v>26751</v>
          </cell>
          <cell r="CU1914">
            <v>30075</v>
          </cell>
          <cell r="CV1914">
            <v>33690</v>
          </cell>
          <cell r="CW1914">
            <v>37488</v>
          </cell>
          <cell r="CX1914">
            <v>41480</v>
          </cell>
        </row>
      </sheetData>
      <sheetData sheetId="4"/>
      <sheetData sheetId="5"/>
      <sheetData sheetId="6">
        <row r="3">
          <cell r="A3" t="str">
            <v>Dementia</v>
          </cell>
          <cell r="C3" t="str">
            <v>Austria</v>
          </cell>
          <cell r="L3">
            <v>0</v>
          </cell>
          <cell r="M3">
            <v>0</v>
          </cell>
          <cell r="N3">
            <v>9</v>
          </cell>
          <cell r="O3">
            <v>25</v>
          </cell>
          <cell r="P3">
            <v>40</v>
          </cell>
          <cell r="Q3">
            <v>69</v>
          </cell>
          <cell r="R3">
            <v>139</v>
          </cell>
          <cell r="S3">
            <v>327</v>
          </cell>
          <cell r="T3">
            <v>688</v>
          </cell>
          <cell r="U3">
            <v>1420</v>
          </cell>
          <cell r="V3">
            <v>2503</v>
          </cell>
          <cell r="W3">
            <v>3444</v>
          </cell>
          <cell r="X3">
            <v>4451</v>
          </cell>
          <cell r="Y3">
            <v>5555</v>
          </cell>
        </row>
        <row r="983">
          <cell r="L983">
            <v>0</v>
          </cell>
          <cell r="M983">
            <v>0</v>
          </cell>
          <cell r="N983">
            <v>8</v>
          </cell>
          <cell r="O983">
            <v>24</v>
          </cell>
          <cell r="P983">
            <v>38</v>
          </cell>
          <cell r="Q983">
            <v>65</v>
          </cell>
          <cell r="R983">
            <v>133</v>
          </cell>
          <cell r="S983">
            <v>309</v>
          </cell>
          <cell r="T983">
            <v>651</v>
          </cell>
          <cell r="U983">
            <v>1325</v>
          </cell>
          <cell r="V983">
            <v>2333</v>
          </cell>
          <cell r="W983">
            <v>3222</v>
          </cell>
          <cell r="X983">
            <v>4184</v>
          </cell>
          <cell r="Y983">
            <v>5292</v>
          </cell>
        </row>
      </sheetData>
      <sheetData sheetId="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D8892B-E802-4E24-AFF0-BB18D9A53E1E}">
  <dimension ref="A1:J82"/>
  <sheetViews>
    <sheetView tabSelected="1" topLeftCell="A6" workbookViewId="0">
      <selection activeCell="F24" sqref="F24"/>
    </sheetView>
  </sheetViews>
  <sheetFormatPr defaultRowHeight="14.4" x14ac:dyDescent="0.3"/>
  <cols>
    <col min="1" max="1" width="32" customWidth="1"/>
    <col min="2" max="2" width="9.77734375" bestFit="1" customWidth="1"/>
    <col min="3" max="4" width="17.21875" customWidth="1"/>
    <col min="5" max="5" width="35.88671875" customWidth="1"/>
    <col min="6" max="6" width="32" customWidth="1"/>
  </cols>
  <sheetData>
    <row r="1" spans="1:10" ht="21" x14ac:dyDescent="0.4">
      <c r="A1" s="15" t="s">
        <v>39</v>
      </c>
      <c r="B1" s="15"/>
      <c r="C1" s="15"/>
      <c r="D1" s="15"/>
      <c r="E1" s="15"/>
      <c r="F1" s="15"/>
    </row>
    <row r="2" spans="1:10" x14ac:dyDescent="0.3">
      <c r="A2" s="2" t="s">
        <v>0</v>
      </c>
      <c r="B2" s="2" t="s">
        <v>2</v>
      </c>
      <c r="C2" s="2" t="s">
        <v>4</v>
      </c>
      <c r="D2" s="2" t="s">
        <v>3</v>
      </c>
      <c r="E2" s="2" t="s">
        <v>6</v>
      </c>
      <c r="F2" s="2" t="s">
        <v>5</v>
      </c>
    </row>
    <row r="3" spans="1:10" x14ac:dyDescent="0.3">
      <c r="A3" s="5" t="str">
        <f>'[1]VALESOR Morbidity'!$A$2</f>
        <v>Albania</v>
      </c>
      <c r="B3">
        <v>2040</v>
      </c>
      <c r="C3" s="4" t="str">
        <f>'[1]VALESOR Morbidity'!$B$2</f>
        <v>ALRI in children</v>
      </c>
      <c r="D3" s="1" t="str">
        <f>'[1]VALESOR Morbidity'!C1</f>
        <v>Healthcare</v>
      </c>
      <c r="E3" t="s">
        <v>10</v>
      </c>
      <c r="F3" s="1">
        <f>'[1]VALESOR Morbidity'!C2</f>
        <v>20</v>
      </c>
      <c r="I3" s="4"/>
      <c r="J3" t="s">
        <v>18</v>
      </c>
    </row>
    <row r="4" spans="1:10" x14ac:dyDescent="0.3">
      <c r="A4" s="5" t="str">
        <f>'[1]VALESOR Morbidity'!$A$2</f>
        <v>Albania</v>
      </c>
      <c r="B4">
        <v>2040</v>
      </c>
      <c r="C4" s="4" t="str">
        <f>'[1]VALESOR Morbidity'!$B$2</f>
        <v>ALRI in children</v>
      </c>
      <c r="D4" s="1" t="str">
        <f>'[1]VALESOR Morbidity'!D1</f>
        <v>Productivity loss</v>
      </c>
      <c r="E4" t="s">
        <v>10</v>
      </c>
      <c r="F4" s="1">
        <f>'[1]VALESOR Morbidity'!D2</f>
        <v>20</v>
      </c>
      <c r="I4" s="5"/>
      <c r="J4" t="s">
        <v>21</v>
      </c>
    </row>
    <row r="5" spans="1:10" x14ac:dyDescent="0.3">
      <c r="A5" s="5" t="str">
        <f>'[1]VALESOR Morbidity'!$A$2</f>
        <v>Albania</v>
      </c>
      <c r="B5">
        <v>2040</v>
      </c>
      <c r="C5" s="4" t="str">
        <f>'[1]VALESOR Morbidity'!$B$2</f>
        <v>ALRI in children</v>
      </c>
      <c r="D5" s="1" t="str">
        <f>'[1]VALESOR Morbidity'!E1</f>
        <v>Disutility</v>
      </c>
      <c r="E5" t="s">
        <v>10</v>
      </c>
      <c r="F5" s="1">
        <f>'[1]VALESOR Morbidity'!E2</f>
        <v>20</v>
      </c>
      <c r="I5" s="6"/>
      <c r="J5" t="s">
        <v>19</v>
      </c>
    </row>
    <row r="6" spans="1:10" x14ac:dyDescent="0.3">
      <c r="A6" s="8" t="s">
        <v>7</v>
      </c>
      <c r="B6" s="9" t="s">
        <v>8</v>
      </c>
      <c r="C6" s="10" t="s">
        <v>7</v>
      </c>
      <c r="D6" s="9" t="s">
        <v>9</v>
      </c>
      <c r="E6" s="9" t="s">
        <v>11</v>
      </c>
      <c r="F6" t="s">
        <v>7</v>
      </c>
      <c r="I6" s="7"/>
      <c r="J6" t="s">
        <v>20</v>
      </c>
    </row>
    <row r="7" spans="1:10" x14ac:dyDescent="0.3">
      <c r="A7" s="5" t="s">
        <v>12</v>
      </c>
    </row>
    <row r="9" spans="1:10" ht="21" x14ac:dyDescent="0.4">
      <c r="A9" s="15" t="s">
        <v>40</v>
      </c>
      <c r="B9" s="15"/>
      <c r="C9" s="15"/>
      <c r="D9" s="15"/>
      <c r="E9" s="15"/>
      <c r="F9" s="15"/>
    </row>
    <row r="10" spans="1:10" ht="15.6" x14ac:dyDescent="0.3">
      <c r="A10" s="3" t="s">
        <v>28</v>
      </c>
    </row>
    <row r="12" spans="1:10" ht="21" x14ac:dyDescent="0.4">
      <c r="A12" s="15" t="s">
        <v>41</v>
      </c>
      <c r="B12" s="15"/>
      <c r="C12" s="15"/>
      <c r="D12" s="15"/>
      <c r="E12" s="15"/>
      <c r="F12" s="15"/>
    </row>
    <row r="13" spans="1:10" x14ac:dyDescent="0.3">
      <c r="A13" s="2" t="s">
        <v>13</v>
      </c>
      <c r="B13" s="2" t="s">
        <v>14</v>
      </c>
      <c r="C13" s="2" t="s">
        <v>4</v>
      </c>
      <c r="D13" s="2" t="s">
        <v>15</v>
      </c>
      <c r="E13" s="2" t="s">
        <v>16</v>
      </c>
      <c r="F13" s="2" t="s">
        <v>17</v>
      </c>
      <c r="G13" s="2"/>
    </row>
    <row r="14" spans="1:10" x14ac:dyDescent="0.3">
      <c r="A14" s="7" t="str">
        <f>[2]AIR!$B$2</f>
        <v>Fine particles (PM2.5)</v>
      </c>
      <c r="B14" t="str">
        <f>[2]AIR!$D$2</f>
        <v>Core</v>
      </c>
      <c r="C14" s="4" t="str">
        <f>[2]AIR!$F$2</f>
        <v>Natural mortality</v>
      </c>
      <c r="D14" t="str">
        <f>[2]AIR!$M$2</f>
        <v>30+</v>
      </c>
      <c r="E14" s="6" t="str">
        <f>[2]AIR!N1</f>
        <v>ERF_L</v>
      </c>
      <c r="F14">
        <f>[2]AIR!N2</f>
        <v>1.0640000000000001</v>
      </c>
      <c r="I14" t="s">
        <v>31</v>
      </c>
    </row>
    <row r="15" spans="1:10" x14ac:dyDescent="0.3">
      <c r="A15" s="7" t="s">
        <v>7</v>
      </c>
      <c r="B15" t="s">
        <v>7</v>
      </c>
      <c r="C15" s="4" t="s">
        <v>7</v>
      </c>
      <c r="D15" t="s">
        <v>7</v>
      </c>
      <c r="E15" s="6" t="str">
        <f>[2]AIR!O1</f>
        <v>ERF_C</v>
      </c>
      <c r="F15">
        <f>[2]AIR!O2</f>
        <v>1.095</v>
      </c>
    </row>
    <row r="16" spans="1:10" x14ac:dyDescent="0.3">
      <c r="E16" s="6" t="str">
        <f>[2]AIR!P1</f>
        <v>ERF_H</v>
      </c>
      <c r="F16">
        <f>[2]AIR!P2</f>
        <v>1.127</v>
      </c>
    </row>
    <row r="18" spans="1:7" ht="21" x14ac:dyDescent="0.4">
      <c r="A18" s="15" t="s">
        <v>29</v>
      </c>
      <c r="B18" s="15"/>
      <c r="C18" s="15"/>
      <c r="D18" s="15"/>
      <c r="E18" s="15"/>
      <c r="F18" s="15"/>
    </row>
    <row r="19" spans="1:7" x14ac:dyDescent="0.3">
      <c r="A19" s="2"/>
      <c r="B19" s="2" t="s">
        <v>1</v>
      </c>
      <c r="C19" s="2" t="s">
        <v>4</v>
      </c>
      <c r="D19" s="2" t="s">
        <v>15</v>
      </c>
      <c r="E19" s="2" t="s">
        <v>16</v>
      </c>
      <c r="F19" s="2" t="s">
        <v>30</v>
      </c>
    </row>
    <row r="20" spans="1:7" x14ac:dyDescent="0.3">
      <c r="B20" t="str">
        <f>[3]Morbidity!$C$3</f>
        <v>Austria</v>
      </c>
      <c r="C20" t="str">
        <f>[3]Morbidity!$A$3</f>
        <v>Dementia</v>
      </c>
      <c r="D20" t="str">
        <f>[2]AIR!$M$2</f>
        <v>30+</v>
      </c>
      <c r="E20" t="s">
        <v>36</v>
      </c>
      <c r="F20" s="13">
        <f>SUM([3]Morbidity!L983:Y983)/14</f>
        <v>1256</v>
      </c>
      <c r="G20" t="s">
        <v>34</v>
      </c>
    </row>
    <row r="21" spans="1:7" x14ac:dyDescent="0.3">
      <c r="B21" s="9" t="str">
        <f>[3]Morbidity!$C$3</f>
        <v>Austria</v>
      </c>
      <c r="C21" s="9" t="str">
        <f>[3]Morbidity!$A$3</f>
        <v>Dementia</v>
      </c>
      <c r="D21" s="9" t="str">
        <f>[2]AIR!$M$2</f>
        <v>30+</v>
      </c>
      <c r="E21" s="9" t="s">
        <v>36</v>
      </c>
      <c r="F21" s="14">
        <f>SUM([3]Morbidity!L3:Y3)/14</f>
        <v>1333.5714285714287</v>
      </c>
      <c r="G21" s="9" t="s">
        <v>35</v>
      </c>
    </row>
    <row r="22" spans="1:7" x14ac:dyDescent="0.3">
      <c r="B22" t="str">
        <f>'[3]All-cause mortality'!$B$1914</f>
        <v>Austria</v>
      </c>
      <c r="C22" t="s">
        <v>37</v>
      </c>
      <c r="D22" t="str">
        <f>[2]AIR!$M$3</f>
        <v>All</v>
      </c>
      <c r="E22" t="s">
        <v>36</v>
      </c>
      <c r="F22" s="1">
        <f>SUM('[3]All-cause mortality'!$C$1914:$CX$1914)/100</f>
        <v>3575.22</v>
      </c>
      <c r="G22" t="s">
        <v>38</v>
      </c>
    </row>
    <row r="23" spans="1:7" x14ac:dyDescent="0.3">
      <c r="C23" t="s">
        <v>32</v>
      </c>
      <c r="D23" t="s">
        <v>22</v>
      </c>
      <c r="F23" s="13"/>
    </row>
    <row r="24" spans="1:7" x14ac:dyDescent="0.3">
      <c r="D24" t="s">
        <v>23</v>
      </c>
      <c r="F24" s="13"/>
    </row>
    <row r="25" spans="1:7" x14ac:dyDescent="0.3">
      <c r="D25" t="s">
        <v>24</v>
      </c>
      <c r="F25" s="13"/>
    </row>
    <row r="26" spans="1:7" x14ac:dyDescent="0.3">
      <c r="D26" t="s">
        <v>25</v>
      </c>
      <c r="F26" s="13"/>
    </row>
    <row r="27" spans="1:7" x14ac:dyDescent="0.3">
      <c r="D27" t="s">
        <v>33</v>
      </c>
      <c r="F27" s="13"/>
    </row>
    <row r="28" spans="1:7" ht="15.6" x14ac:dyDescent="0.3">
      <c r="D28" s="12"/>
      <c r="F28" s="13"/>
    </row>
    <row r="29" spans="1:7" ht="15.6" x14ac:dyDescent="0.3">
      <c r="D29" s="12"/>
      <c r="F29" s="13"/>
    </row>
    <row r="30" spans="1:7" ht="15.6" x14ac:dyDescent="0.3">
      <c r="D30" s="12"/>
      <c r="F30" s="13"/>
    </row>
    <row r="31" spans="1:7" ht="21" x14ac:dyDescent="0.4">
      <c r="A31" s="15" t="s">
        <v>27</v>
      </c>
      <c r="B31" s="15"/>
      <c r="C31" s="15"/>
      <c r="D31" s="15"/>
      <c r="F31" s="13"/>
    </row>
    <row r="32" spans="1:7" x14ac:dyDescent="0.3">
      <c r="A32" s="2" t="s">
        <v>1</v>
      </c>
      <c r="B32" s="2" t="s">
        <v>2</v>
      </c>
      <c r="C32" s="2" t="s">
        <v>15</v>
      </c>
      <c r="D32" s="2" t="s">
        <v>26</v>
      </c>
      <c r="F32" s="13"/>
    </row>
    <row r="33" spans="1:9" x14ac:dyDescent="0.3">
      <c r="A33" s="5" t="str">
        <f>[3]Population!$B$3</f>
        <v>Austria</v>
      </c>
      <c r="B33">
        <v>2040</v>
      </c>
      <c r="C33" t="str">
        <f>[2]AIR!$M$2</f>
        <v>30+</v>
      </c>
      <c r="D33" s="1">
        <f>SUM([3]Population!$AI$1914:$CZ$1914)</f>
        <v>6436976</v>
      </c>
      <c r="F33" s="13"/>
      <c r="I33">
        <f>D33/100000*F20*(F14-1)</f>
        <v>5174.2987878400054</v>
      </c>
    </row>
    <row r="34" spans="1:9" x14ac:dyDescent="0.3">
      <c r="A34" s="5" t="s">
        <v>7</v>
      </c>
      <c r="B34">
        <v>2040</v>
      </c>
      <c r="C34" t="str">
        <f>[2]AIR!$M$3</f>
        <v>All</v>
      </c>
      <c r="D34" s="1">
        <f>SUM([3]Population!$E$1914:$CZ$1914)</f>
        <v>8972835</v>
      </c>
    </row>
    <row r="35" spans="1:9" ht="15.6" x14ac:dyDescent="0.3">
      <c r="B35">
        <v>2040</v>
      </c>
      <c r="C35" s="11" t="s">
        <v>22</v>
      </c>
      <c r="D35" s="1">
        <f>SUM([3]Population!$E$1914:$W$1914)</f>
        <v>1417873</v>
      </c>
    </row>
    <row r="36" spans="1:9" ht="15.6" x14ac:dyDescent="0.3">
      <c r="B36">
        <v>2040</v>
      </c>
      <c r="C36" s="11" t="s">
        <v>23</v>
      </c>
      <c r="D36" s="1">
        <f>SUM([3]Population!$X$1914:$CZ$1914)</f>
        <v>7554962</v>
      </c>
    </row>
    <row r="37" spans="1:9" ht="15.6" x14ac:dyDescent="0.3">
      <c r="B37">
        <v>2040</v>
      </c>
      <c r="C37" s="11" t="s">
        <v>24</v>
      </c>
      <c r="D37" s="1">
        <f>SUM([3]Population!$E$1914:$Q$1914)</f>
        <v>927416</v>
      </c>
    </row>
    <row r="38" spans="1:9" ht="15.6" x14ac:dyDescent="0.3">
      <c r="B38">
        <v>2040</v>
      </c>
      <c r="C38" s="11" t="s">
        <v>25</v>
      </c>
      <c r="D38" s="1">
        <f>[3]Population!$E$1914</f>
        <v>68830</v>
      </c>
    </row>
    <row r="39" spans="1:9" ht="15.6" x14ac:dyDescent="0.3">
      <c r="B39" t="s">
        <v>8</v>
      </c>
      <c r="C39" s="12"/>
    </row>
    <row r="40" spans="1:9" ht="15.6" x14ac:dyDescent="0.3">
      <c r="C40" s="12"/>
    </row>
    <row r="41" spans="1:9" ht="15.6" x14ac:dyDescent="0.3">
      <c r="C41" s="12"/>
    </row>
    <row r="42" spans="1:9" ht="15.6" x14ac:dyDescent="0.3">
      <c r="C42" s="12"/>
    </row>
    <row r="43" spans="1:9" ht="15.6" x14ac:dyDescent="0.3">
      <c r="C43" s="12"/>
    </row>
    <row r="44" spans="1:9" ht="15.6" x14ac:dyDescent="0.3">
      <c r="C44" s="12"/>
    </row>
    <row r="45" spans="1:9" ht="15.6" x14ac:dyDescent="0.3">
      <c r="C45" s="12"/>
    </row>
    <row r="46" spans="1:9" ht="15.6" x14ac:dyDescent="0.3">
      <c r="C46" s="12"/>
    </row>
    <row r="48" spans="1:9" ht="15.6" x14ac:dyDescent="0.3">
      <c r="C48" s="12"/>
    </row>
    <row r="49" spans="3:3" ht="15.6" x14ac:dyDescent="0.3">
      <c r="C49" s="12"/>
    </row>
    <row r="50" spans="3:3" ht="15.6" x14ac:dyDescent="0.3">
      <c r="C50" s="12"/>
    </row>
    <row r="51" spans="3:3" ht="15.6" x14ac:dyDescent="0.3">
      <c r="C51" s="12"/>
    </row>
    <row r="52" spans="3:3" ht="15.6" x14ac:dyDescent="0.3">
      <c r="C52" s="12"/>
    </row>
    <row r="53" spans="3:3" ht="15.6" x14ac:dyDescent="0.3">
      <c r="C53" s="12"/>
    </row>
    <row r="54" spans="3:3" ht="15.6" x14ac:dyDescent="0.3">
      <c r="C54" s="12"/>
    </row>
    <row r="55" spans="3:3" ht="15.6" x14ac:dyDescent="0.3">
      <c r="C55" s="12"/>
    </row>
    <row r="58" spans="3:3" ht="15.6" x14ac:dyDescent="0.3">
      <c r="C58" s="12"/>
    </row>
    <row r="59" spans="3:3" ht="15.6" x14ac:dyDescent="0.3">
      <c r="C59" s="12"/>
    </row>
    <row r="60" spans="3:3" ht="15.6" x14ac:dyDescent="0.3">
      <c r="C60" s="12"/>
    </row>
    <row r="61" spans="3:3" ht="15.6" x14ac:dyDescent="0.3">
      <c r="C61" s="12"/>
    </row>
    <row r="62" spans="3:3" ht="15.6" x14ac:dyDescent="0.3">
      <c r="C62" s="12"/>
    </row>
    <row r="63" spans="3:3" ht="15.6" x14ac:dyDescent="0.3">
      <c r="C63" s="12"/>
    </row>
    <row r="64" spans="3:3" ht="15.6" x14ac:dyDescent="0.3">
      <c r="C64" s="12"/>
    </row>
    <row r="65" spans="3:3" ht="15.6" x14ac:dyDescent="0.3">
      <c r="C65" s="12"/>
    </row>
    <row r="66" spans="3:3" ht="15.6" x14ac:dyDescent="0.3">
      <c r="C66" s="12"/>
    </row>
    <row r="67" spans="3:3" ht="15.6" x14ac:dyDescent="0.3">
      <c r="C67" s="12"/>
    </row>
    <row r="68" spans="3:3" ht="15.6" x14ac:dyDescent="0.3">
      <c r="C68" s="12"/>
    </row>
    <row r="69" spans="3:3" ht="15.6" x14ac:dyDescent="0.3">
      <c r="C69" s="12"/>
    </row>
    <row r="70" spans="3:3" ht="15.6" x14ac:dyDescent="0.3">
      <c r="C70" s="12"/>
    </row>
    <row r="71" spans="3:3" ht="15.6" x14ac:dyDescent="0.3">
      <c r="C71" s="12"/>
    </row>
    <row r="72" spans="3:3" ht="15.6" x14ac:dyDescent="0.3">
      <c r="C72" s="12"/>
    </row>
    <row r="73" spans="3:3" ht="15.6" x14ac:dyDescent="0.3">
      <c r="C73" s="12"/>
    </row>
    <row r="74" spans="3:3" ht="15.6" x14ac:dyDescent="0.3">
      <c r="C74" s="12"/>
    </row>
    <row r="75" spans="3:3" ht="15.6" x14ac:dyDescent="0.3">
      <c r="C75" s="12"/>
    </row>
    <row r="76" spans="3:3" ht="15.6" x14ac:dyDescent="0.3">
      <c r="C76" s="12"/>
    </row>
    <row r="77" spans="3:3" ht="15.6" x14ac:dyDescent="0.3">
      <c r="C77" s="12"/>
    </row>
    <row r="78" spans="3:3" ht="15.6" x14ac:dyDescent="0.3">
      <c r="C78" s="12"/>
    </row>
    <row r="80" spans="3:3" ht="15.6" x14ac:dyDescent="0.3">
      <c r="C80" s="12"/>
    </row>
    <row r="81" spans="3:3" ht="15.6" x14ac:dyDescent="0.3">
      <c r="C81" s="12"/>
    </row>
    <row r="82" spans="3:3" ht="15.6" x14ac:dyDescent="0.3">
      <c r="C82" s="1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Stefan Åström</dc:creator>
  <cp:lastModifiedBy>Lovisa Årebäck</cp:lastModifiedBy>
  <dcterms:created xsi:type="dcterms:W3CDTF">2026-01-27T13:46:09Z</dcterms:created>
  <dcterms:modified xsi:type="dcterms:W3CDTF">2026-02-09T14:30:55Z</dcterms:modified>
</cp:coreProperties>
</file>
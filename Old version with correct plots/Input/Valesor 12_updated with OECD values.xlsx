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nthesisllc-my.sharepoint.com/personal/lovisa_areback_anthesisgroup_com/Documents/Dokument/GitHub/CBA_GBG_PROT/Input/"/>
    </mc:Choice>
  </mc:AlternateContent>
  <xr:revisionPtr revIDLastSave="159" documentId="8_{6875EADB-AFAD-4E79-A326-5762FBACA071}" xr6:coauthVersionLast="47" xr6:coauthVersionMax="47" xr10:uidLastSave="{8A41F07C-D136-4E79-9580-70B364F4AA64}"/>
  <bookViews>
    <workbookView xWindow="-103" yWindow="-103" windowWidth="22149" windowHeight="13200" xr2:uid="{0EFAC0D5-3333-49E4-993E-3033691A9986}"/>
  </bookViews>
  <sheets>
    <sheet name="VALESOR VOLY VSL vQALY" sheetId="50" r:id="rId1"/>
    <sheet name="INFO" sheetId="51" r:id="rId2"/>
    <sheet name="Data" sheetId="54" r:id="rId3"/>
    <sheet name="Series - Metadata" sheetId="5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0" l="1"/>
  <c r="B2" i="50"/>
  <c r="M58" i="54"/>
  <c r="L58" i="54"/>
  <c r="L3" i="54"/>
  <c r="M3" i="54"/>
  <c r="L4" i="54"/>
  <c r="M4" i="54"/>
  <c r="L5" i="54"/>
  <c r="M5" i="54"/>
  <c r="L6" i="54"/>
  <c r="M6" i="54"/>
  <c r="L7" i="54"/>
  <c r="M7" i="54"/>
  <c r="L8" i="54"/>
  <c r="M8" i="54"/>
  <c r="L9" i="54"/>
  <c r="M9" i="54"/>
  <c r="L10" i="54"/>
  <c r="M10" i="54"/>
  <c r="L11" i="54"/>
  <c r="M11" i="54"/>
  <c r="L12" i="54"/>
  <c r="M12" i="54"/>
  <c r="L13" i="54"/>
  <c r="M13" i="54"/>
  <c r="L14" i="54"/>
  <c r="M14" i="54"/>
  <c r="L15" i="54"/>
  <c r="M15" i="54"/>
  <c r="L16" i="54"/>
  <c r="M16" i="54"/>
  <c r="L17" i="54"/>
  <c r="M17" i="54"/>
  <c r="L18" i="54"/>
  <c r="M18" i="54"/>
  <c r="L19" i="54"/>
  <c r="M19" i="54"/>
  <c r="L20" i="54"/>
  <c r="M20" i="54"/>
  <c r="L21" i="54"/>
  <c r="M21" i="54"/>
  <c r="L22" i="54"/>
  <c r="M22" i="54"/>
  <c r="L23" i="54"/>
  <c r="M23" i="54"/>
  <c r="L24" i="54"/>
  <c r="M24" i="54"/>
  <c r="L25" i="54"/>
  <c r="M25" i="54"/>
  <c r="L26" i="54"/>
  <c r="M26" i="54"/>
  <c r="L27" i="54"/>
  <c r="M27" i="54"/>
  <c r="L28" i="54"/>
  <c r="M28" i="54"/>
  <c r="L29" i="54"/>
  <c r="M29" i="54"/>
  <c r="L30" i="54"/>
  <c r="M30" i="54"/>
  <c r="L31" i="54"/>
  <c r="M31" i="54"/>
  <c r="L32" i="54"/>
  <c r="M32" i="54"/>
  <c r="L33" i="54"/>
  <c r="M33" i="54"/>
  <c r="L34" i="54"/>
  <c r="M34" i="54"/>
  <c r="L35" i="54"/>
  <c r="M35" i="54"/>
  <c r="L36" i="54"/>
  <c r="M36" i="54"/>
  <c r="L37" i="54"/>
  <c r="M37" i="54"/>
  <c r="L38" i="54"/>
  <c r="M38" i="54"/>
  <c r="L39" i="54"/>
  <c r="M39" i="54"/>
  <c r="L40" i="54"/>
  <c r="M40" i="54"/>
  <c r="L41" i="54"/>
  <c r="M41" i="54"/>
  <c r="L42" i="54"/>
  <c r="M42" i="54"/>
  <c r="L43" i="54"/>
  <c r="M43" i="54"/>
  <c r="L44" i="54"/>
  <c r="M44" i="54"/>
  <c r="L45" i="54"/>
  <c r="M45" i="54"/>
  <c r="L46" i="54"/>
  <c r="M46" i="54"/>
  <c r="L47" i="54"/>
  <c r="M47" i="54"/>
  <c r="L48" i="54"/>
  <c r="M48" i="54"/>
  <c r="L49" i="54"/>
  <c r="M49" i="54"/>
  <c r="L50" i="54"/>
  <c r="M50" i="54"/>
  <c r="L51" i="54"/>
  <c r="M51" i="54"/>
  <c r="L52" i="54"/>
  <c r="M52" i="54"/>
  <c r="L53" i="54"/>
  <c r="M53" i="54"/>
  <c r="L54" i="54"/>
  <c r="M54" i="54"/>
  <c r="L55" i="54"/>
  <c r="M55" i="54"/>
  <c r="L56" i="54"/>
  <c r="M56" i="54"/>
  <c r="L57" i="54"/>
  <c r="M57" i="54"/>
  <c r="M2" i="54"/>
  <c r="L2" i="54"/>
</calcChain>
</file>

<file path=xl/sharedStrings.xml><?xml version="1.0" encoding="utf-8"?>
<sst xmlns="http://schemas.openxmlformats.org/spreadsheetml/2006/main" count="364" uniqueCount="204">
  <si>
    <t>Country/region</t>
  </si>
  <si>
    <t>VOLY</t>
  </si>
  <si>
    <t>VSL</t>
  </si>
  <si>
    <t>Pan-European</t>
  </si>
  <si>
    <t>402 931</t>
  </si>
  <si>
    <t>10 435 709</t>
  </si>
  <si>
    <t>EU27</t>
  </si>
  <si>
    <t>Western Balkan</t>
  </si>
  <si>
    <t>EECCA</t>
  </si>
  <si>
    <t>UNECE Europe</t>
  </si>
  <si>
    <t>UNECE Caucasus + Asia</t>
  </si>
  <si>
    <t>EFTA</t>
  </si>
  <si>
    <t>Austria</t>
  </si>
  <si>
    <t>Belgium</t>
  </si>
  <si>
    <t>Bulgaria</t>
  </si>
  <si>
    <t>Croatia</t>
  </si>
  <si>
    <t>Cyprus</t>
  </si>
  <si>
    <t>Czech Republic</t>
  </si>
  <si>
    <t>Denmark</t>
  </si>
  <si>
    <t>384 718</t>
  </si>
  <si>
    <t>9 905 057</t>
  </si>
  <si>
    <t>Estonia</t>
  </si>
  <si>
    <t>Finland</t>
  </si>
  <si>
    <t>308 374</t>
  </si>
  <si>
    <t>7 753 380</t>
  </si>
  <si>
    <t>France</t>
  </si>
  <si>
    <t>Germany</t>
  </si>
  <si>
    <t>Greece</t>
  </si>
  <si>
    <t>Hungary</t>
  </si>
  <si>
    <t>Ireland</t>
  </si>
  <si>
    <t>Italy</t>
  </si>
  <si>
    <t>Latvia</t>
  </si>
  <si>
    <t>Lithuania</t>
  </si>
  <si>
    <t>Luxembourg</t>
  </si>
  <si>
    <t>Malta</t>
  </si>
  <si>
    <t>Netherlands</t>
  </si>
  <si>
    <t>Poland</t>
  </si>
  <si>
    <t>Portugal</t>
  </si>
  <si>
    <t>Romania</t>
  </si>
  <si>
    <t>Slovak Republic</t>
  </si>
  <si>
    <t>Slovenia</t>
  </si>
  <si>
    <t>Spain</t>
  </si>
  <si>
    <t>Sweden</t>
  </si>
  <si>
    <t>346 161</t>
  </si>
  <si>
    <t>9 043 688</t>
  </si>
  <si>
    <t>United Kingdom</t>
  </si>
  <si>
    <t>Iceland</t>
  </si>
  <si>
    <t>357 355</t>
  </si>
  <si>
    <t>9 500 711</t>
  </si>
  <si>
    <t>Norway</t>
  </si>
  <si>
    <t>630 125</t>
  </si>
  <si>
    <t>16 455 153</t>
  </si>
  <si>
    <t>Switzerland</t>
  </si>
  <si>
    <t>Turkey</t>
  </si>
  <si>
    <t>Armenia</t>
  </si>
  <si>
    <t>Azerbaijan</t>
  </si>
  <si>
    <t>Belarus</t>
  </si>
  <si>
    <t>Georgia</t>
  </si>
  <si>
    <t>Kazakhstan</t>
  </si>
  <si>
    <t>Kyrgyzstan</t>
  </si>
  <si>
    <t>Republic of Moldova</t>
  </si>
  <si>
    <t>Russia European part</t>
  </si>
  <si>
    <t>Tajikistan</t>
  </si>
  <si>
    <t>Turkmenistan</t>
  </si>
  <si>
    <t>Ukraine</t>
  </si>
  <si>
    <t>Uzbekistan</t>
  </si>
  <si>
    <t>Albania</t>
  </si>
  <si>
    <t>Bosnia and Herzegovina</t>
  </si>
  <si>
    <t>Montenegro</t>
  </si>
  <si>
    <t>North Macedonia</t>
  </si>
  <si>
    <t>Serbia</t>
  </si>
  <si>
    <t>Values marked yellow taken from OECD calculations for 2040</t>
  </si>
  <si>
    <t>Values marked green taken from VALESOR</t>
  </si>
  <si>
    <t>Values marked blue a GDP weighted mean</t>
  </si>
  <si>
    <t>Last Updated: 04/08/2026</t>
  </si>
  <si>
    <t>Data from database: World Development Indicators</t>
  </si>
  <si>
    <t>AUT</t>
  </si>
  <si>
    <t>YR2020</t>
  </si>
  <si>
    <t>BLR</t>
  </si>
  <si>
    <t>BIH</t>
  </si>
  <si>
    <t>CYP</t>
  </si>
  <si>
    <t>DNK</t>
  </si>
  <si>
    <t>FRA</t>
  </si>
  <si>
    <t>DEU</t>
  </si>
  <si>
    <t>HUN</t>
  </si>
  <si>
    <t>GRC</t>
  </si>
  <si>
    <t>IRL</t>
  </si>
  <si>
    <t>ITA</t>
  </si>
  <si>
    <t>XKX</t>
  </si>
  <si>
    <t>Kosovo</t>
  </si>
  <si>
    <t>LVA</t>
  </si>
  <si>
    <t>LTU</t>
  </si>
  <si>
    <t>MDA</t>
  </si>
  <si>
    <t>Moldova</t>
  </si>
  <si>
    <t>MNE</t>
  </si>
  <si>
    <t>MKD</t>
  </si>
  <si>
    <t>POL</t>
  </si>
  <si>
    <t>ROU</t>
  </si>
  <si>
    <t>SVK</t>
  </si>
  <si>
    <t>ESP</t>
  </si>
  <si>
    <t>CHE</t>
  </si>
  <si>
    <t>TUR</t>
  </si>
  <si>
    <t>Turkiye</t>
  </si>
  <si>
    <t>UKR</t>
  </si>
  <si>
    <t>UZB</t>
  </si>
  <si>
    <t>GBR</t>
  </si>
  <si>
    <t>TKM</t>
  </si>
  <si>
    <t>TJK</t>
  </si>
  <si>
    <t>SWE</t>
  </si>
  <si>
    <t>SVN</t>
  </si>
  <si>
    <t>SRB</t>
  </si>
  <si>
    <t>RUS</t>
  </si>
  <si>
    <t>Russian Federation</t>
  </si>
  <si>
    <t>PRT</t>
  </si>
  <si>
    <t>NOR</t>
  </si>
  <si>
    <t>NLD</t>
  </si>
  <si>
    <t>LUX</t>
  </si>
  <si>
    <t>KGZ</t>
  </si>
  <si>
    <t>Kyrgyz Republic</t>
  </si>
  <si>
    <t>KAZ</t>
  </si>
  <si>
    <t>IMN</t>
  </si>
  <si>
    <t>Isle of Man</t>
  </si>
  <si>
    <t>GEO</t>
  </si>
  <si>
    <t>FIN</t>
  </si>
  <si>
    <t>EST</t>
  </si>
  <si>
    <t>HRV</t>
  </si>
  <si>
    <t>CZE</t>
  </si>
  <si>
    <t>Czechia</t>
  </si>
  <si>
    <t>BGR</t>
  </si>
  <si>
    <t>AZE</t>
  </si>
  <si>
    <t>ARM</t>
  </si>
  <si>
    <t>BEL</t>
  </si>
  <si>
    <t>ALB</t>
  </si>
  <si>
    <t>Population, total [SP.POP.TOTL]</t>
  </si>
  <si>
    <t>GDP (current US$) [NY.GDP.MKTP.CD]</t>
  </si>
  <si>
    <t>Country Code</t>
  </si>
  <si>
    <t>Country Name</t>
  </si>
  <si>
    <t>Time Code</t>
  </si>
  <si>
    <t>Time</t>
  </si>
  <si>
    <t>https://datacatalog.worldbank.org/public-licenses#cc-by</t>
  </si>
  <si>
    <t>Relevance to gender indicator: disaggregating the population composition by gender will help a country in projecting its demand for social services on a gender basis.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</si>
  <si>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</si>
  <si>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</si>
  <si>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</si>
  <si>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Sum</t>
  </si>
  <si>
    <t>1960-2025</t>
  </si>
  <si>
    <t>Annual</t>
  </si>
  <si>
    <t>Unit</t>
  </si>
  <si>
    <t>WB_WDI</t>
  </si>
  <si>
    <t>Health: Population: Structure</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</si>
  <si>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</si>
  <si>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Total population is based on the de facto definition of population, which counts all residents regardless of legal status or citizenship. The values shown are midyear estimates.</t>
  </si>
  <si>
    <t>Population, total</t>
  </si>
  <si>
    <t>CC BY-4.0</t>
  </si>
  <si>
    <t>SP.POP.TOTL</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</si>
  <si>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</si>
  <si>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</si>
  <si>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</si>
  <si>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Gap-filled total</t>
  </si>
  <si>
    <t>1960-2024</t>
  </si>
  <si>
    <t>Current US$</t>
  </si>
  <si>
    <t>Economic Policy &amp; Debt: National accounts: US$ at current prices: Aggregate indicators</t>
  </si>
  <si>
    <t>Country official statistics, National Statistical Organizations and/or Central Banks;
National Accounts data files, Organisation for Economic Co-operation and Development (OECD);
Staff estimates, World Bank (WB)</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</si>
  <si>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</si>
  <si>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GDP (current US$)</t>
  </si>
  <si>
    <t>NY.GDP.MKTP.CD</t>
  </si>
  <si>
    <t>License URL</t>
  </si>
  <si>
    <t>Other notes</t>
  </si>
  <si>
    <t>Limitations and exceptions</t>
  </si>
  <si>
    <t>Development relevance</t>
  </si>
  <si>
    <t>Statistical concept and methodology</t>
  </si>
  <si>
    <t>Aggregation method</t>
  </si>
  <si>
    <t>Reference period</t>
  </si>
  <si>
    <t>Periodicity</t>
  </si>
  <si>
    <t>Unit of measure</t>
  </si>
  <si>
    <t>Dataset</t>
  </si>
  <si>
    <t>Topic</t>
  </si>
  <si>
    <t>Source</t>
  </si>
  <si>
    <t>Long definition</t>
  </si>
  <si>
    <t>Indicator Name</t>
  </si>
  <si>
    <t>License Type</t>
  </si>
  <si>
    <t>Code</t>
  </si>
  <si>
    <t>SMR</t>
  </si>
  <si>
    <t>San Marino</t>
  </si>
  <si>
    <t>CHI</t>
  </si>
  <si>
    <t>Channel Islands</t>
  </si>
  <si>
    <t>MCO</t>
  </si>
  <si>
    <t>Monaco</t>
  </si>
  <si>
    <t>LIE</t>
  </si>
  <si>
    <t>Liechtenstein</t>
  </si>
  <si>
    <t>..</t>
  </si>
  <si>
    <t>GIB</t>
  </si>
  <si>
    <t>Gibraltar</t>
  </si>
  <si>
    <t>AND</t>
  </si>
  <si>
    <t>Andorra</t>
  </si>
  <si>
    <t>Country</t>
  </si>
  <si>
    <t>Merged with small countries and dependencies</t>
  </si>
  <si>
    <t>x</t>
  </si>
  <si>
    <t>Andorra, Monaco, Guernsey, Jersey</t>
  </si>
  <si>
    <t>San Marino, Vatican</t>
  </si>
  <si>
    <t xml:space="preserve">Isle of Man </t>
  </si>
  <si>
    <t>ISL</t>
  </si>
  <si>
    <t>UNECE European continent</t>
  </si>
  <si>
    <t>Nordics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</si>
</sst>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CCFFCC"/>
        <bgColor indexed="64"/>
      </patternFill>
    </fill>
    <fill>
      <patternFill patternType="solid">
        <fgColor rgb="FFFFFF00"/>
        <bgColor indexed="64"/>
      </patternFill>
    </fill>
    <fill>
      <patternFill patternType="solid">
        <fgColor rgb="FF90E1FA"/>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164" fontId="2" fillId="0" borderId="0" applyFont="0" applyFill="0" applyBorder="0" applyAlignment="0" applyProtection="0"/>
    <xf numFmtId="43" fontId="2" fillId="0" borderId="0" applyFont="0" applyFill="0" applyBorder="0" applyAlignment="0" applyProtection="0"/>
  </cellStyleXfs>
  <cellXfs count="27">
    <xf numFmtId="0" fontId="0" fillId="0" borderId="0" xfId="0"/>
    <xf numFmtId="0" fontId="0" fillId="0" borderId="0" xfId="0" applyAlignment="1">
      <alignment vertical="top"/>
    </xf>
    <xf numFmtId="0" fontId="1" fillId="0" borderId="1" xfId="0" applyFont="1" applyBorder="1" applyAlignment="1">
      <alignment vertical="top"/>
    </xf>
    <xf numFmtId="3" fontId="1" fillId="0" borderId="2" xfId="0" applyNumberFormat="1" applyFont="1" applyBorder="1" applyAlignment="1">
      <alignment horizontal="center" vertical="top"/>
    </xf>
    <xf numFmtId="0" fontId="1" fillId="0" borderId="2" xfId="0" applyFont="1" applyBorder="1" applyAlignment="1">
      <alignment vertical="top"/>
    </xf>
    <xf numFmtId="0" fontId="0" fillId="0" borderId="2" xfId="0" applyBorder="1" applyAlignment="1">
      <alignment vertical="top"/>
    </xf>
    <xf numFmtId="0" fontId="0" fillId="0" borderId="4" xfId="0" applyBorder="1" applyAlignment="1">
      <alignment vertical="top"/>
    </xf>
    <xf numFmtId="0" fontId="0" fillId="0" borderId="5" xfId="0" applyBorder="1" applyAlignment="1">
      <alignment vertical="top"/>
    </xf>
    <xf numFmtId="3" fontId="1" fillId="0" borderId="1" xfId="0" applyNumberFormat="1" applyFont="1" applyBorder="1" applyAlignment="1">
      <alignment horizontal="center" vertical="top"/>
    </xf>
    <xf numFmtId="3" fontId="0" fillId="2" borderId="5" xfId="0" applyNumberFormat="1" applyFill="1" applyBorder="1" applyAlignment="1">
      <alignment horizontal="center" vertical="top"/>
    </xf>
    <xf numFmtId="3" fontId="0" fillId="2" borderId="0" xfId="0" applyNumberFormat="1" applyFill="1" applyAlignment="1">
      <alignment horizontal="center" vertical="top"/>
    </xf>
    <xf numFmtId="3" fontId="0" fillId="0" borderId="5" xfId="0" applyNumberFormat="1" applyBorder="1" applyAlignment="1">
      <alignment horizontal="center" vertical="top"/>
    </xf>
    <xf numFmtId="3" fontId="0" fillId="0" borderId="0" xfId="0" applyNumberFormat="1" applyAlignment="1">
      <alignment horizontal="center" vertical="top"/>
    </xf>
    <xf numFmtId="0" fontId="0" fillId="0" borderId="6" xfId="0" applyBorder="1" applyAlignment="1">
      <alignment vertical="top"/>
    </xf>
    <xf numFmtId="3" fontId="0" fillId="2" borderId="6" xfId="0" applyNumberFormat="1" applyFill="1" applyBorder="1" applyAlignment="1">
      <alignment horizontal="center" vertical="top"/>
    </xf>
    <xf numFmtId="3" fontId="0" fillId="2" borderId="7" xfId="0" applyNumberFormat="1" applyFill="1" applyBorder="1" applyAlignment="1">
      <alignment horizontal="center" vertical="top"/>
    </xf>
    <xf numFmtId="0" fontId="0" fillId="0" borderId="7" xfId="0" applyBorder="1" applyAlignment="1">
      <alignment vertical="top"/>
    </xf>
    <xf numFmtId="0" fontId="0" fillId="3" borderId="5" xfId="0" applyFill="1" applyBorder="1" applyAlignment="1">
      <alignment vertical="top"/>
    </xf>
    <xf numFmtId="3" fontId="0" fillId="3" borderId="5" xfId="0" applyNumberFormat="1" applyFill="1" applyBorder="1" applyAlignment="1">
      <alignment horizontal="center" vertical="top"/>
    </xf>
    <xf numFmtId="3" fontId="0" fillId="3" borderId="0" xfId="0" applyNumberFormat="1" applyFill="1" applyAlignment="1">
      <alignment horizontal="center" vertical="top"/>
    </xf>
    <xf numFmtId="0" fontId="0" fillId="3" borderId="0" xfId="0" applyFill="1"/>
    <xf numFmtId="0" fontId="0" fillId="4" borderId="0" xfId="0" applyFill="1"/>
    <xf numFmtId="0" fontId="0" fillId="4" borderId="3" xfId="0" applyFill="1" applyBorder="1" applyAlignment="1">
      <alignment vertical="top"/>
    </xf>
    <xf numFmtId="3" fontId="0" fillId="4" borderId="3" xfId="0" applyNumberFormat="1" applyFill="1" applyBorder="1" applyAlignment="1">
      <alignment horizontal="center" vertical="top"/>
    </xf>
    <xf numFmtId="0" fontId="0" fillId="2" borderId="0" xfId="0" applyFill="1"/>
    <xf numFmtId="49" fontId="0" fillId="0" borderId="0" xfId="0" applyNumberFormat="1"/>
    <xf numFmtId="165" fontId="0" fillId="0" borderId="0" xfId="2" applyNumberFormat="1" applyFont="1"/>
  </cellXfs>
  <cellStyles count="3">
    <cellStyle name="Comma" xfId="2" builtinId="3"/>
    <cellStyle name="Comma 2" xfId="1" xr:uid="{35E90CC9-E05E-4C34-BEDE-2ADB0208D0B9}"/>
    <cellStyle name="Normal" xfId="0" builtinId="0"/>
  </cellStyles>
  <dxfs count="0"/>
  <tableStyles count="0" defaultTableStyle="TableStyleMedium2" defaultPivotStyle="PivotStyleLight16"/>
  <colors>
    <mruColors>
      <color rgb="FFCCFFCC"/>
      <color rgb="FF90E1FA"/>
      <color rgb="FFFF99FF"/>
      <color rgb="FFFFCC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460E-45B0-424C-B00C-ED0A4B646B29}">
  <sheetPr>
    <tabColor rgb="FFCCFFCC"/>
  </sheetPr>
  <dimension ref="A1:D58"/>
  <sheetViews>
    <sheetView tabSelected="1" workbookViewId="0">
      <selection activeCell="A3" sqref="A3"/>
    </sheetView>
  </sheetViews>
  <sheetFormatPr defaultColWidth="9.07421875" defaultRowHeight="15" customHeight="1" x14ac:dyDescent="0.4"/>
  <cols>
    <col min="1" max="1" width="22.4609375" style="7" bestFit="1" customWidth="1"/>
    <col min="2" max="2" width="9.07421875" style="11"/>
    <col min="3" max="3" width="11.4609375" style="12" customWidth="1"/>
    <col min="4" max="16384" width="9.07421875" style="1"/>
  </cols>
  <sheetData>
    <row r="1" spans="1:4" s="5" customFormat="1" ht="15" customHeight="1" thickBot="1" x14ac:dyDescent="0.45">
      <c r="A1" s="2" t="s">
        <v>0</v>
      </c>
      <c r="B1" s="8" t="s">
        <v>1</v>
      </c>
      <c r="C1" s="3" t="s">
        <v>2</v>
      </c>
      <c r="D1" s="4"/>
    </row>
    <row r="2" spans="1:4" s="6" customFormat="1" ht="14.6" x14ac:dyDescent="0.4">
      <c r="A2" s="22" t="s">
        <v>3</v>
      </c>
      <c r="B2" s="23">
        <f>B7*Data!$L$58/(Data!$L$58+Data!$M$58)+'VALESOR VOLY VSL vQALY'!B8*Data!$M$58/(Data!$L$58+Data!$M$58)</f>
        <v>95770.065692551536</v>
      </c>
      <c r="C2" s="23">
        <f>C7*Data!$L$58/(Data!$L$58+Data!$M$58)+'VALESOR VOLY VSL vQALY'!C8*Data!$M$58/(Data!$L$58+Data!$M$58)</f>
        <v>3688168.7816651617</v>
      </c>
    </row>
    <row r="3" spans="1:4" ht="14.6" x14ac:dyDescent="0.4">
      <c r="A3" s="17" t="s">
        <v>203</v>
      </c>
      <c r="B3" s="18" t="s">
        <v>4</v>
      </c>
      <c r="C3" s="19" t="s">
        <v>5</v>
      </c>
    </row>
    <row r="4" spans="1:4" ht="14.6" x14ac:dyDescent="0.4">
      <c r="A4" s="7" t="s">
        <v>6</v>
      </c>
      <c r="B4" s="9">
        <v>118700</v>
      </c>
      <c r="C4" s="10">
        <v>4570100</v>
      </c>
    </row>
    <row r="5" spans="1:4" ht="14.6" x14ac:dyDescent="0.4">
      <c r="A5" s="7" t="s">
        <v>7</v>
      </c>
      <c r="B5" s="9">
        <v>46600</v>
      </c>
      <c r="C5" s="10">
        <v>1796000</v>
      </c>
    </row>
    <row r="6" spans="1:4" ht="14.6" x14ac:dyDescent="0.4">
      <c r="A6" s="7" t="s">
        <v>8</v>
      </c>
      <c r="B6" s="9">
        <v>54800</v>
      </c>
      <c r="C6" s="10">
        <v>2108600</v>
      </c>
    </row>
    <row r="7" spans="1:4" ht="14.6" x14ac:dyDescent="0.4">
      <c r="A7" s="17" t="s">
        <v>9</v>
      </c>
      <c r="B7" s="18">
        <v>106100</v>
      </c>
      <c r="C7" s="19">
        <v>4085900</v>
      </c>
    </row>
    <row r="8" spans="1:4" ht="14.6" x14ac:dyDescent="0.4">
      <c r="A8" s="17" t="s">
        <v>10</v>
      </c>
      <c r="B8" s="18">
        <v>52200</v>
      </c>
      <c r="C8" s="19">
        <v>2010600</v>
      </c>
    </row>
    <row r="9" spans="1:4" s="16" customFormat="1" ht="15" customHeight="1" thickBot="1" x14ac:dyDescent="0.45">
      <c r="A9" s="13" t="s">
        <v>11</v>
      </c>
      <c r="B9" s="14">
        <v>175500</v>
      </c>
      <c r="C9" s="15">
        <v>6759200</v>
      </c>
    </row>
    <row r="10" spans="1:4" ht="14.6" x14ac:dyDescent="0.4">
      <c r="A10" s="7" t="s">
        <v>12</v>
      </c>
      <c r="B10" s="9">
        <v>146000</v>
      </c>
      <c r="C10" s="10">
        <v>5622200</v>
      </c>
    </row>
    <row r="11" spans="1:4" ht="14.6" x14ac:dyDescent="0.4">
      <c r="A11" s="7" t="s">
        <v>13</v>
      </c>
      <c r="B11" s="9">
        <v>140000</v>
      </c>
      <c r="C11" s="10">
        <v>5391300</v>
      </c>
    </row>
    <row r="12" spans="1:4" ht="14.6" x14ac:dyDescent="0.4">
      <c r="A12" s="7" t="s">
        <v>14</v>
      </c>
      <c r="B12" s="9">
        <v>68300</v>
      </c>
      <c r="C12" s="10">
        <v>2630000</v>
      </c>
    </row>
    <row r="13" spans="1:4" ht="14.6" x14ac:dyDescent="0.4">
      <c r="A13" s="7" t="s">
        <v>15</v>
      </c>
      <c r="B13" s="9">
        <v>78800</v>
      </c>
      <c r="C13" s="10">
        <v>3035400</v>
      </c>
    </row>
    <row r="14" spans="1:4" ht="14.6" x14ac:dyDescent="0.4">
      <c r="A14" s="7" t="s">
        <v>16</v>
      </c>
      <c r="B14" s="9">
        <v>108200</v>
      </c>
      <c r="C14" s="10">
        <v>4164900</v>
      </c>
    </row>
    <row r="15" spans="1:4" ht="14.6" x14ac:dyDescent="0.4">
      <c r="A15" s="7" t="s">
        <v>17</v>
      </c>
      <c r="B15" s="9">
        <v>111900</v>
      </c>
      <c r="C15" s="10">
        <v>4307600</v>
      </c>
    </row>
    <row r="16" spans="1:4" ht="14.6" x14ac:dyDescent="0.4">
      <c r="A16" s="17" t="s">
        <v>18</v>
      </c>
      <c r="B16" s="18" t="s">
        <v>19</v>
      </c>
      <c r="C16" s="19" t="s">
        <v>20</v>
      </c>
    </row>
    <row r="17" spans="1:3" ht="14.6" x14ac:dyDescent="0.4">
      <c r="A17" s="7" t="s">
        <v>21</v>
      </c>
      <c r="B17" s="9">
        <v>101500</v>
      </c>
      <c r="C17" s="10">
        <v>3907300</v>
      </c>
    </row>
    <row r="18" spans="1:3" ht="14.6" x14ac:dyDescent="0.4">
      <c r="A18" s="17" t="s">
        <v>22</v>
      </c>
      <c r="B18" s="18" t="s">
        <v>23</v>
      </c>
      <c r="C18" s="19" t="s">
        <v>24</v>
      </c>
    </row>
    <row r="19" spans="1:3" ht="14.6" x14ac:dyDescent="0.4">
      <c r="A19" s="7" t="s">
        <v>25</v>
      </c>
      <c r="B19" s="9">
        <v>123500</v>
      </c>
      <c r="C19" s="10">
        <v>4753600</v>
      </c>
    </row>
    <row r="20" spans="1:3" ht="14.6" x14ac:dyDescent="0.4">
      <c r="A20" s="7" t="s">
        <v>26</v>
      </c>
      <c r="B20" s="9">
        <v>146400</v>
      </c>
      <c r="C20" s="10">
        <v>5637800</v>
      </c>
    </row>
    <row r="21" spans="1:3" ht="14.6" x14ac:dyDescent="0.4">
      <c r="A21" s="7" t="s">
        <v>27</v>
      </c>
      <c r="B21" s="9">
        <v>73700</v>
      </c>
      <c r="C21" s="10">
        <v>2837200</v>
      </c>
    </row>
    <row r="22" spans="1:3" ht="14.6" x14ac:dyDescent="0.4">
      <c r="A22" s="7" t="s">
        <v>28</v>
      </c>
      <c r="B22" s="9">
        <v>88800</v>
      </c>
      <c r="C22" s="10">
        <v>3418500</v>
      </c>
    </row>
    <row r="23" spans="1:3" ht="14.6" x14ac:dyDescent="0.4">
      <c r="A23" s="7" t="s">
        <v>29</v>
      </c>
      <c r="B23" s="9">
        <v>244000</v>
      </c>
      <c r="C23" s="10">
        <v>9395400</v>
      </c>
    </row>
    <row r="24" spans="1:3" ht="14.6" x14ac:dyDescent="0.4">
      <c r="A24" s="7" t="s">
        <v>30</v>
      </c>
      <c r="B24" s="9">
        <v>110900</v>
      </c>
      <c r="C24" s="10">
        <v>4268900</v>
      </c>
    </row>
    <row r="25" spans="1:3" ht="14.6" x14ac:dyDescent="0.4">
      <c r="A25" s="7" t="s">
        <v>31</v>
      </c>
      <c r="B25" s="9">
        <v>81700</v>
      </c>
      <c r="C25" s="10">
        <v>3145400</v>
      </c>
    </row>
    <row r="26" spans="1:3" ht="14.6" x14ac:dyDescent="0.4">
      <c r="A26" s="7" t="s">
        <v>32</v>
      </c>
      <c r="B26" s="9">
        <v>103000</v>
      </c>
      <c r="C26" s="10">
        <v>3964000</v>
      </c>
    </row>
    <row r="27" spans="1:3" ht="14.6" x14ac:dyDescent="0.4">
      <c r="A27" s="7" t="s">
        <v>33</v>
      </c>
      <c r="B27" s="9">
        <v>304600</v>
      </c>
      <c r="C27" s="10">
        <v>11726700</v>
      </c>
    </row>
    <row r="28" spans="1:3" ht="14.6" x14ac:dyDescent="0.4">
      <c r="A28" s="7" t="s">
        <v>34</v>
      </c>
      <c r="B28" s="9">
        <v>124700</v>
      </c>
      <c r="C28" s="10">
        <v>4802100</v>
      </c>
    </row>
    <row r="29" spans="1:3" ht="14.6" x14ac:dyDescent="0.4">
      <c r="A29" s="7" t="s">
        <v>35</v>
      </c>
      <c r="B29" s="9">
        <v>156200</v>
      </c>
      <c r="C29" s="10">
        <v>6013600</v>
      </c>
    </row>
    <row r="30" spans="1:3" ht="14.6" x14ac:dyDescent="0.4">
      <c r="A30" s="7" t="s">
        <v>36</v>
      </c>
      <c r="B30" s="9">
        <v>92500</v>
      </c>
      <c r="C30" s="10">
        <v>3563100</v>
      </c>
    </row>
    <row r="31" spans="1:3" ht="14.6" x14ac:dyDescent="0.4">
      <c r="A31" s="7" t="s">
        <v>37</v>
      </c>
      <c r="B31" s="9">
        <v>89700</v>
      </c>
      <c r="C31" s="10">
        <v>3455300</v>
      </c>
    </row>
    <row r="32" spans="1:3" ht="14.6" x14ac:dyDescent="0.4">
      <c r="A32" s="7" t="s">
        <v>38</v>
      </c>
      <c r="B32" s="9">
        <v>85800</v>
      </c>
      <c r="C32" s="10">
        <v>3303400</v>
      </c>
    </row>
    <row r="33" spans="1:3" ht="14.6" x14ac:dyDescent="0.4">
      <c r="A33" s="7" t="s">
        <v>39</v>
      </c>
      <c r="B33" s="9">
        <v>88100</v>
      </c>
      <c r="C33" s="10">
        <v>3393900</v>
      </c>
    </row>
    <row r="34" spans="1:3" ht="14.6" x14ac:dyDescent="0.4">
      <c r="A34" s="7" t="s">
        <v>40</v>
      </c>
      <c r="B34" s="9">
        <v>104200</v>
      </c>
      <c r="C34" s="10">
        <v>4012500</v>
      </c>
    </row>
    <row r="35" spans="1:3" ht="14.6" x14ac:dyDescent="0.4">
      <c r="A35" s="7" t="s">
        <v>41</v>
      </c>
      <c r="B35" s="9">
        <v>98100</v>
      </c>
      <c r="C35" s="10">
        <v>3778200</v>
      </c>
    </row>
    <row r="36" spans="1:3" ht="14.6" x14ac:dyDescent="0.4">
      <c r="A36" s="17" t="s">
        <v>42</v>
      </c>
      <c r="B36" s="18" t="s">
        <v>43</v>
      </c>
      <c r="C36" s="19" t="s">
        <v>44</v>
      </c>
    </row>
    <row r="37" spans="1:3" ht="14.6" x14ac:dyDescent="0.4">
      <c r="A37" s="7" t="s">
        <v>45</v>
      </c>
      <c r="B37" s="9">
        <v>120300</v>
      </c>
      <c r="C37" s="10">
        <v>4633400</v>
      </c>
    </row>
    <row r="38" spans="1:3" ht="14.6" x14ac:dyDescent="0.4">
      <c r="A38" s="17" t="s">
        <v>46</v>
      </c>
      <c r="B38" s="18" t="s">
        <v>47</v>
      </c>
      <c r="C38" s="19" t="s">
        <v>48</v>
      </c>
    </row>
    <row r="39" spans="1:3" ht="14.6" x14ac:dyDescent="0.4">
      <c r="A39" s="17" t="s">
        <v>49</v>
      </c>
      <c r="B39" s="18" t="s">
        <v>50</v>
      </c>
      <c r="C39" s="19" t="s">
        <v>51</v>
      </c>
    </row>
    <row r="40" spans="1:3" ht="14.6" x14ac:dyDescent="0.4">
      <c r="A40" s="7" t="s">
        <v>52</v>
      </c>
      <c r="B40" s="9">
        <v>182100</v>
      </c>
      <c r="C40" s="10">
        <v>7012800</v>
      </c>
    </row>
    <row r="41" spans="1:3" ht="14.6" x14ac:dyDescent="0.4">
      <c r="A41" s="7" t="s">
        <v>53</v>
      </c>
      <c r="B41" s="9">
        <v>71600</v>
      </c>
      <c r="C41" s="10">
        <v>2755200</v>
      </c>
    </row>
    <row r="42" spans="1:3" ht="14.6" x14ac:dyDescent="0.4">
      <c r="A42" s="7" t="s">
        <v>54</v>
      </c>
      <c r="B42" s="9">
        <v>36700</v>
      </c>
      <c r="C42" s="10">
        <v>1412800</v>
      </c>
    </row>
    <row r="43" spans="1:3" ht="14.6" x14ac:dyDescent="0.4">
      <c r="A43" s="7" t="s">
        <v>55</v>
      </c>
      <c r="B43" s="9">
        <v>37800</v>
      </c>
      <c r="C43" s="10">
        <v>1456800</v>
      </c>
    </row>
    <row r="44" spans="1:3" ht="14.6" x14ac:dyDescent="0.4">
      <c r="A44" s="7" t="s">
        <v>56</v>
      </c>
      <c r="B44" s="9">
        <v>62100</v>
      </c>
      <c r="C44" s="10">
        <v>2389400</v>
      </c>
    </row>
    <row r="45" spans="1:3" ht="14.6" x14ac:dyDescent="0.4">
      <c r="A45" s="7" t="s">
        <v>57</v>
      </c>
      <c r="B45" s="9">
        <v>41900</v>
      </c>
      <c r="C45" s="10">
        <v>1613100</v>
      </c>
    </row>
    <row r="46" spans="1:3" ht="14.6" x14ac:dyDescent="0.4">
      <c r="A46" s="7" t="s">
        <v>58</v>
      </c>
      <c r="B46" s="9">
        <v>72500</v>
      </c>
      <c r="C46" s="10">
        <v>2789800</v>
      </c>
    </row>
    <row r="47" spans="1:3" ht="14.6" x14ac:dyDescent="0.4">
      <c r="A47" s="7" t="s">
        <v>59</v>
      </c>
      <c r="B47" s="9">
        <v>12900</v>
      </c>
      <c r="C47" s="10">
        <v>497500</v>
      </c>
    </row>
    <row r="48" spans="1:3" ht="14.6" x14ac:dyDescent="0.4">
      <c r="A48" s="7" t="s">
        <v>60</v>
      </c>
      <c r="B48" s="9">
        <v>33800</v>
      </c>
      <c r="C48" s="10">
        <v>1299500</v>
      </c>
    </row>
    <row r="49" spans="1:3" ht="14.6" x14ac:dyDescent="0.4">
      <c r="A49" s="7" t="s">
        <v>61</v>
      </c>
      <c r="B49" s="9">
        <v>78600</v>
      </c>
      <c r="C49" s="10">
        <v>3025300</v>
      </c>
    </row>
    <row r="50" spans="1:3" ht="14.6" x14ac:dyDescent="0.4">
      <c r="A50" s="7" t="s">
        <v>62</v>
      </c>
      <c r="B50" s="9">
        <v>9100</v>
      </c>
      <c r="C50" s="10">
        <v>351000</v>
      </c>
    </row>
    <row r="51" spans="1:3" ht="14.6" x14ac:dyDescent="0.4">
      <c r="A51" s="7" t="s">
        <v>63</v>
      </c>
      <c r="B51" s="9">
        <v>37700</v>
      </c>
      <c r="C51" s="10">
        <v>1449800</v>
      </c>
    </row>
    <row r="52" spans="1:3" ht="14.6" x14ac:dyDescent="0.4">
      <c r="A52" s="7" t="s">
        <v>64</v>
      </c>
      <c r="B52" s="9">
        <v>38800</v>
      </c>
      <c r="C52" s="10">
        <v>1493000</v>
      </c>
    </row>
    <row r="53" spans="1:3" ht="14.6" x14ac:dyDescent="0.4">
      <c r="A53" s="7" t="s">
        <v>65</v>
      </c>
      <c r="B53" s="9">
        <v>21100</v>
      </c>
      <c r="C53" s="10">
        <v>812000</v>
      </c>
    </row>
    <row r="54" spans="1:3" ht="14.6" x14ac:dyDescent="0.4">
      <c r="A54" s="7" t="s">
        <v>66</v>
      </c>
      <c r="B54" s="9">
        <v>36200</v>
      </c>
      <c r="C54" s="10">
        <v>1394100</v>
      </c>
    </row>
    <row r="55" spans="1:3" ht="14.6" x14ac:dyDescent="0.4">
      <c r="A55" s="7" t="s">
        <v>67</v>
      </c>
      <c r="B55" s="9">
        <v>40800</v>
      </c>
      <c r="C55" s="10">
        <v>1572600</v>
      </c>
    </row>
    <row r="56" spans="1:3" ht="14.6" x14ac:dyDescent="0.4">
      <c r="A56" s="7" t="s">
        <v>68</v>
      </c>
      <c r="B56" s="9">
        <v>52000</v>
      </c>
      <c r="C56" s="10">
        <v>2000800</v>
      </c>
    </row>
    <row r="57" spans="1:3" ht="14.6" x14ac:dyDescent="0.4">
      <c r="A57" s="7" t="s">
        <v>69</v>
      </c>
      <c r="B57" s="9">
        <v>49800</v>
      </c>
      <c r="C57" s="10">
        <v>1917700</v>
      </c>
    </row>
    <row r="58" spans="1:3" ht="14.6" x14ac:dyDescent="0.4">
      <c r="A58" s="7" t="s">
        <v>70</v>
      </c>
      <c r="B58" s="9">
        <v>52400</v>
      </c>
      <c r="C58" s="10">
        <v>2018700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B8A2-BF3A-470F-9237-679DFD2B1EC9}">
  <dimension ref="A1:F3"/>
  <sheetViews>
    <sheetView workbookViewId="0">
      <selection activeCell="D10" sqref="D10"/>
    </sheetView>
  </sheetViews>
  <sheetFormatPr defaultRowHeight="14.6" x14ac:dyDescent="0.4"/>
  <sheetData>
    <row r="1" spans="1:6" x14ac:dyDescent="0.4">
      <c r="A1" s="20" t="s">
        <v>71</v>
      </c>
      <c r="B1" s="20"/>
      <c r="C1" s="20"/>
      <c r="D1" s="20"/>
      <c r="E1" s="20"/>
      <c r="F1" s="20"/>
    </row>
    <row r="2" spans="1:6" x14ac:dyDescent="0.4">
      <c r="A2" s="24" t="s">
        <v>72</v>
      </c>
      <c r="B2" s="24"/>
      <c r="C2" s="24"/>
      <c r="D2" s="24"/>
      <c r="E2" s="24"/>
      <c r="F2" s="24"/>
    </row>
    <row r="3" spans="1:6" x14ac:dyDescent="0.4">
      <c r="A3" s="21" t="s">
        <v>73</v>
      </c>
      <c r="B3" s="21"/>
      <c r="C3" s="21"/>
      <c r="D3" s="21"/>
      <c r="E3" s="21"/>
      <c r="F3"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86D4-CBD8-4B89-A9AA-CC8A373AFD75}">
  <dimension ref="A1:N76"/>
  <sheetViews>
    <sheetView topLeftCell="C7" workbookViewId="0">
      <selection activeCell="M58" sqref="M58"/>
    </sheetView>
  </sheetViews>
  <sheetFormatPr defaultRowHeight="14.6" x14ac:dyDescent="0.4"/>
  <cols>
    <col min="3" max="3" width="15.69140625" customWidth="1"/>
    <col min="5" max="5" width="16.765625" customWidth="1"/>
    <col min="6" max="6" width="11.3046875" customWidth="1"/>
    <col min="7" max="7" width="12" bestFit="1" customWidth="1"/>
    <col min="8" max="8" width="21.765625" customWidth="1"/>
    <col min="9" max="9" width="42.765625" bestFit="1" customWidth="1"/>
    <col min="10" max="10" width="15" customWidth="1"/>
    <col min="11" max="11" width="20.4609375" customWidth="1"/>
    <col min="12" max="12" width="14.84375" bestFit="1" customWidth="1"/>
    <col min="13" max="13" width="12" customWidth="1"/>
  </cols>
  <sheetData>
    <row r="1" spans="1:14" x14ac:dyDescent="0.4">
      <c r="A1" t="s">
        <v>138</v>
      </c>
      <c r="B1" s="25" t="s">
        <v>137</v>
      </c>
      <c r="C1" t="s">
        <v>136</v>
      </c>
      <c r="D1" s="25" t="s">
        <v>135</v>
      </c>
      <c r="E1" t="s">
        <v>134</v>
      </c>
      <c r="F1" t="s">
        <v>133</v>
      </c>
      <c r="H1" t="s">
        <v>195</v>
      </c>
      <c r="I1" t="s">
        <v>196</v>
      </c>
      <c r="J1" t="s">
        <v>9</v>
      </c>
      <c r="K1" t="s">
        <v>10</v>
      </c>
      <c r="L1" t="s">
        <v>9</v>
      </c>
      <c r="M1" t="s">
        <v>10</v>
      </c>
      <c r="N1" t="s">
        <v>202</v>
      </c>
    </row>
    <row r="2" spans="1:14" x14ac:dyDescent="0.4">
      <c r="A2">
        <v>2020</v>
      </c>
      <c r="B2" s="25" t="s">
        <v>77</v>
      </c>
      <c r="C2" t="s">
        <v>66</v>
      </c>
      <c r="D2" s="25" t="s">
        <v>132</v>
      </c>
      <c r="E2">
        <v>15241458744.592728</v>
      </c>
      <c r="F2">
        <v>2528480</v>
      </c>
      <c r="H2" t="s">
        <v>66</v>
      </c>
      <c r="J2">
        <v>1</v>
      </c>
      <c r="L2">
        <f>F2*J2</f>
        <v>2528480</v>
      </c>
      <c r="M2">
        <f>F2*K2</f>
        <v>0</v>
      </c>
    </row>
    <row r="3" spans="1:14" x14ac:dyDescent="0.4">
      <c r="A3">
        <v>2020</v>
      </c>
      <c r="B3" s="25" t="s">
        <v>77</v>
      </c>
      <c r="C3" t="s">
        <v>13</v>
      </c>
      <c r="D3" s="25" t="s">
        <v>131</v>
      </c>
      <c r="E3">
        <v>529694473501.79132</v>
      </c>
      <c r="F3">
        <v>11538604</v>
      </c>
      <c r="H3" t="s">
        <v>13</v>
      </c>
      <c r="J3">
        <v>1</v>
      </c>
      <c r="L3">
        <f t="shared" ref="L3:L57" si="0">F3*J3</f>
        <v>11538604</v>
      </c>
      <c r="M3">
        <f t="shared" ref="M3:M57" si="1">F3*K3</f>
        <v>0</v>
      </c>
    </row>
    <row r="4" spans="1:14" x14ac:dyDescent="0.4">
      <c r="A4">
        <v>2020</v>
      </c>
      <c r="B4" s="25" t="s">
        <v>77</v>
      </c>
      <c r="C4" t="s">
        <v>54</v>
      </c>
      <c r="D4" s="25" t="s">
        <v>130</v>
      </c>
      <c r="E4">
        <v>12641698583.215239</v>
      </c>
      <c r="F4">
        <v>2961500</v>
      </c>
      <c r="H4" t="s">
        <v>54</v>
      </c>
      <c r="K4">
        <v>1</v>
      </c>
      <c r="L4">
        <f t="shared" si="0"/>
        <v>0</v>
      </c>
      <c r="M4">
        <f t="shared" si="1"/>
        <v>2961500</v>
      </c>
    </row>
    <row r="5" spans="1:14" x14ac:dyDescent="0.4">
      <c r="A5">
        <v>2020</v>
      </c>
      <c r="B5" s="25" t="s">
        <v>77</v>
      </c>
      <c r="C5" t="s">
        <v>55</v>
      </c>
      <c r="D5" s="25" t="s">
        <v>129</v>
      </c>
      <c r="E5">
        <v>42693000000</v>
      </c>
      <c r="F5">
        <v>10093121</v>
      </c>
      <c r="H5" t="s">
        <v>55</v>
      </c>
      <c r="K5">
        <v>1</v>
      </c>
      <c r="L5">
        <f t="shared" si="0"/>
        <v>0</v>
      </c>
      <c r="M5">
        <f t="shared" si="1"/>
        <v>10093121</v>
      </c>
    </row>
    <row r="6" spans="1:14" x14ac:dyDescent="0.4">
      <c r="A6">
        <v>2020</v>
      </c>
      <c r="B6" s="25" t="s">
        <v>77</v>
      </c>
      <c r="C6" t="s">
        <v>14</v>
      </c>
      <c r="D6" s="25" t="s">
        <v>128</v>
      </c>
      <c r="E6">
        <v>70486877546.490097</v>
      </c>
      <c r="F6">
        <v>6550696</v>
      </c>
      <c r="H6" t="s">
        <v>14</v>
      </c>
      <c r="J6">
        <v>1</v>
      </c>
      <c r="L6">
        <f t="shared" si="0"/>
        <v>6550696</v>
      </c>
      <c r="M6">
        <f t="shared" si="1"/>
        <v>0</v>
      </c>
    </row>
    <row r="7" spans="1:14" x14ac:dyDescent="0.4">
      <c r="A7">
        <v>2020</v>
      </c>
      <c r="B7" s="25" t="s">
        <v>77</v>
      </c>
      <c r="C7" t="s">
        <v>127</v>
      </c>
      <c r="D7" s="25" t="s">
        <v>126</v>
      </c>
      <c r="E7">
        <v>251109660602.53552</v>
      </c>
      <c r="F7">
        <v>10697858</v>
      </c>
      <c r="H7" t="s">
        <v>17</v>
      </c>
      <c r="J7">
        <v>1</v>
      </c>
      <c r="L7">
        <f t="shared" si="0"/>
        <v>10697858</v>
      </c>
      <c r="M7">
        <f t="shared" si="1"/>
        <v>0</v>
      </c>
    </row>
    <row r="8" spans="1:14" x14ac:dyDescent="0.4">
      <c r="A8">
        <v>2020</v>
      </c>
      <c r="B8" s="25" t="s">
        <v>77</v>
      </c>
      <c r="C8" t="s">
        <v>15</v>
      </c>
      <c r="D8" s="25" t="s">
        <v>125</v>
      </c>
      <c r="E8">
        <v>57959843541.369934</v>
      </c>
      <c r="F8">
        <v>3914206</v>
      </c>
      <c r="H8" t="s">
        <v>15</v>
      </c>
      <c r="J8">
        <v>1</v>
      </c>
      <c r="L8">
        <f t="shared" si="0"/>
        <v>3914206</v>
      </c>
      <c r="M8">
        <f t="shared" si="1"/>
        <v>0</v>
      </c>
    </row>
    <row r="9" spans="1:14" x14ac:dyDescent="0.4">
      <c r="A9">
        <v>2020</v>
      </c>
      <c r="B9" s="25" t="s">
        <v>77</v>
      </c>
      <c r="C9" t="s">
        <v>21</v>
      </c>
      <c r="D9" s="25" t="s">
        <v>124</v>
      </c>
      <c r="E9">
        <v>31820771493.897366</v>
      </c>
      <c r="F9">
        <v>1329522</v>
      </c>
      <c r="H9" t="s">
        <v>21</v>
      </c>
      <c r="J9">
        <v>1</v>
      </c>
      <c r="L9">
        <f t="shared" si="0"/>
        <v>1329522</v>
      </c>
      <c r="M9">
        <f t="shared" si="1"/>
        <v>0</v>
      </c>
    </row>
    <row r="10" spans="1:14" x14ac:dyDescent="0.4">
      <c r="A10">
        <v>2020</v>
      </c>
      <c r="B10" s="25" t="s">
        <v>77</v>
      </c>
      <c r="C10" t="s">
        <v>22</v>
      </c>
      <c r="D10" s="25" t="s">
        <v>123</v>
      </c>
      <c r="E10">
        <v>270000311606.22644</v>
      </c>
      <c r="F10">
        <v>5529543</v>
      </c>
      <c r="H10" t="s">
        <v>22</v>
      </c>
      <c r="J10">
        <v>1</v>
      </c>
      <c r="L10">
        <f t="shared" si="0"/>
        <v>5529543</v>
      </c>
      <c r="M10">
        <f t="shared" si="1"/>
        <v>0</v>
      </c>
    </row>
    <row r="11" spans="1:14" x14ac:dyDescent="0.4">
      <c r="A11">
        <v>2020</v>
      </c>
      <c r="B11" s="25" t="s">
        <v>77</v>
      </c>
      <c r="C11" t="s">
        <v>57</v>
      </c>
      <c r="D11" s="25" t="s">
        <v>122</v>
      </c>
      <c r="E11">
        <v>16010869215.679968</v>
      </c>
      <c r="F11">
        <v>3722716</v>
      </c>
      <c r="H11" t="s">
        <v>57</v>
      </c>
      <c r="K11">
        <v>1</v>
      </c>
      <c r="L11">
        <f t="shared" si="0"/>
        <v>0</v>
      </c>
      <c r="M11">
        <f t="shared" si="1"/>
        <v>3722716</v>
      </c>
    </row>
    <row r="12" spans="1:14" x14ac:dyDescent="0.4">
      <c r="A12">
        <v>2020</v>
      </c>
      <c r="B12" s="25" t="s">
        <v>77</v>
      </c>
      <c r="C12" t="s">
        <v>121</v>
      </c>
      <c r="D12" s="25" t="s">
        <v>120</v>
      </c>
      <c r="E12">
        <v>6684225641.0256405</v>
      </c>
      <c r="F12">
        <v>84064</v>
      </c>
      <c r="I12" t="s">
        <v>200</v>
      </c>
      <c r="J12">
        <v>1</v>
      </c>
      <c r="L12">
        <f t="shared" si="0"/>
        <v>84064</v>
      </c>
      <c r="M12">
        <f t="shared" si="1"/>
        <v>0</v>
      </c>
    </row>
    <row r="13" spans="1:14" x14ac:dyDescent="0.4">
      <c r="A13">
        <v>2020</v>
      </c>
      <c r="B13" s="25" t="s">
        <v>77</v>
      </c>
      <c r="C13" t="s">
        <v>58</v>
      </c>
      <c r="D13" s="25" t="s">
        <v>119</v>
      </c>
      <c r="E13">
        <v>171082365861.42291</v>
      </c>
      <c r="F13">
        <v>19482117</v>
      </c>
      <c r="H13" t="s">
        <v>58</v>
      </c>
      <c r="K13">
        <v>1</v>
      </c>
      <c r="L13">
        <f t="shared" si="0"/>
        <v>0</v>
      </c>
      <c r="M13">
        <f t="shared" si="1"/>
        <v>19482117</v>
      </c>
    </row>
    <row r="14" spans="1:14" x14ac:dyDescent="0.4">
      <c r="A14">
        <v>2020</v>
      </c>
      <c r="B14" s="25" t="s">
        <v>77</v>
      </c>
      <c r="C14" t="s">
        <v>118</v>
      </c>
      <c r="D14" s="25" t="s">
        <v>117</v>
      </c>
      <c r="E14">
        <v>8270468614.2405109</v>
      </c>
      <c r="F14">
        <v>6726596</v>
      </c>
      <c r="H14" t="s">
        <v>59</v>
      </c>
      <c r="K14">
        <v>1</v>
      </c>
      <c r="L14">
        <f t="shared" si="0"/>
        <v>0</v>
      </c>
      <c r="M14">
        <f t="shared" si="1"/>
        <v>6726596</v>
      </c>
    </row>
    <row r="15" spans="1:14" x14ac:dyDescent="0.4">
      <c r="A15">
        <v>2020</v>
      </c>
      <c r="B15" s="25" t="s">
        <v>77</v>
      </c>
      <c r="C15" t="s">
        <v>33</v>
      </c>
      <c r="D15" s="25" t="s">
        <v>116</v>
      </c>
      <c r="E15">
        <v>73670782100.390869</v>
      </c>
      <c r="F15">
        <v>630419</v>
      </c>
      <c r="H15" t="s">
        <v>33</v>
      </c>
      <c r="J15">
        <v>1</v>
      </c>
      <c r="L15">
        <f t="shared" si="0"/>
        <v>630419</v>
      </c>
      <c r="M15">
        <f t="shared" si="1"/>
        <v>0</v>
      </c>
    </row>
    <row r="16" spans="1:14" x14ac:dyDescent="0.4">
      <c r="A16">
        <v>2020</v>
      </c>
      <c r="B16" s="25" t="s">
        <v>77</v>
      </c>
      <c r="C16" t="s">
        <v>35</v>
      </c>
      <c r="D16" s="25" t="s">
        <v>115</v>
      </c>
      <c r="E16">
        <v>932560861701.16992</v>
      </c>
      <c r="F16">
        <v>17441500</v>
      </c>
      <c r="H16" t="s">
        <v>35</v>
      </c>
      <c r="J16">
        <v>1</v>
      </c>
      <c r="L16">
        <f t="shared" si="0"/>
        <v>17441500</v>
      </c>
      <c r="M16">
        <f t="shared" si="1"/>
        <v>0</v>
      </c>
    </row>
    <row r="17" spans="1:13" x14ac:dyDescent="0.4">
      <c r="A17">
        <v>2020</v>
      </c>
      <c r="B17" s="25" t="s">
        <v>77</v>
      </c>
      <c r="C17" t="s">
        <v>49</v>
      </c>
      <c r="D17" s="25" t="s">
        <v>114</v>
      </c>
      <c r="E17">
        <v>367633418886.62726</v>
      </c>
      <c r="F17">
        <v>5379475</v>
      </c>
      <c r="H17" t="s">
        <v>49</v>
      </c>
      <c r="J17">
        <v>1</v>
      </c>
      <c r="L17">
        <f t="shared" si="0"/>
        <v>5379475</v>
      </c>
      <c r="M17">
        <f t="shared" si="1"/>
        <v>0</v>
      </c>
    </row>
    <row r="18" spans="1:13" x14ac:dyDescent="0.4">
      <c r="A18">
        <v>2020</v>
      </c>
      <c r="B18" s="25" t="s">
        <v>77</v>
      </c>
      <c r="C18" t="s">
        <v>37</v>
      </c>
      <c r="D18" s="25" t="s">
        <v>113</v>
      </c>
      <c r="E18">
        <v>229618773422.57651</v>
      </c>
      <c r="F18">
        <v>10297081</v>
      </c>
      <c r="H18" t="s">
        <v>37</v>
      </c>
      <c r="J18">
        <v>1</v>
      </c>
      <c r="L18">
        <f t="shared" si="0"/>
        <v>10297081</v>
      </c>
      <c r="M18">
        <f t="shared" si="1"/>
        <v>0</v>
      </c>
    </row>
    <row r="19" spans="1:13" x14ac:dyDescent="0.4">
      <c r="A19">
        <v>2020</v>
      </c>
      <c r="B19" s="25" t="s">
        <v>77</v>
      </c>
      <c r="C19" t="s">
        <v>112</v>
      </c>
      <c r="D19" s="25" t="s">
        <v>111</v>
      </c>
      <c r="E19">
        <v>1493075894362.1426</v>
      </c>
      <c r="F19">
        <v>145245148</v>
      </c>
      <c r="H19" t="s">
        <v>61</v>
      </c>
      <c r="J19">
        <v>1</v>
      </c>
      <c r="L19">
        <f t="shared" si="0"/>
        <v>145245148</v>
      </c>
      <c r="M19">
        <f t="shared" si="1"/>
        <v>0</v>
      </c>
    </row>
    <row r="20" spans="1:13" x14ac:dyDescent="0.4">
      <c r="A20">
        <v>2020</v>
      </c>
      <c r="B20" s="25" t="s">
        <v>77</v>
      </c>
      <c r="C20" t="s">
        <v>70</v>
      </c>
      <c r="D20" s="25" t="s">
        <v>110</v>
      </c>
      <c r="E20">
        <v>55874017668.998001</v>
      </c>
      <c r="F20">
        <v>6899126</v>
      </c>
      <c r="H20" t="s">
        <v>70</v>
      </c>
      <c r="J20">
        <v>1</v>
      </c>
      <c r="L20">
        <f t="shared" si="0"/>
        <v>6899126</v>
      </c>
      <c r="M20">
        <f t="shared" si="1"/>
        <v>0</v>
      </c>
    </row>
    <row r="21" spans="1:13" x14ac:dyDescent="0.4">
      <c r="A21">
        <v>2020</v>
      </c>
      <c r="B21" s="25" t="s">
        <v>77</v>
      </c>
      <c r="C21" t="s">
        <v>40</v>
      </c>
      <c r="D21" s="25" t="s">
        <v>109</v>
      </c>
      <c r="E21">
        <v>53384760135.158127</v>
      </c>
      <c r="F21">
        <v>2102419</v>
      </c>
      <c r="H21" t="s">
        <v>40</v>
      </c>
      <c r="J21">
        <v>1</v>
      </c>
      <c r="L21">
        <f t="shared" si="0"/>
        <v>2102419</v>
      </c>
      <c r="M21">
        <f t="shared" si="1"/>
        <v>0</v>
      </c>
    </row>
    <row r="22" spans="1:13" x14ac:dyDescent="0.4">
      <c r="A22">
        <v>2020</v>
      </c>
      <c r="B22" s="25" t="s">
        <v>77</v>
      </c>
      <c r="C22" t="s">
        <v>42</v>
      </c>
      <c r="D22" s="25" t="s">
        <v>108</v>
      </c>
      <c r="E22">
        <v>544265668451.6781</v>
      </c>
      <c r="F22">
        <v>10353442</v>
      </c>
      <c r="H22" t="s">
        <v>42</v>
      </c>
      <c r="J22">
        <v>1</v>
      </c>
      <c r="L22">
        <f t="shared" si="0"/>
        <v>10353442</v>
      </c>
      <c r="M22">
        <f t="shared" si="1"/>
        <v>0</v>
      </c>
    </row>
    <row r="23" spans="1:13" x14ac:dyDescent="0.4">
      <c r="A23">
        <v>2020</v>
      </c>
      <c r="B23" s="25" t="s">
        <v>77</v>
      </c>
      <c r="C23" t="s">
        <v>62</v>
      </c>
      <c r="D23" s="25" t="s">
        <v>107</v>
      </c>
      <c r="E23">
        <v>8133963550.6574249</v>
      </c>
      <c r="F23">
        <v>9749310</v>
      </c>
      <c r="H23" t="s">
        <v>62</v>
      </c>
      <c r="K23">
        <v>1</v>
      </c>
      <c r="L23">
        <f t="shared" si="0"/>
        <v>0</v>
      </c>
      <c r="M23">
        <f t="shared" si="1"/>
        <v>9749310</v>
      </c>
    </row>
    <row r="24" spans="1:13" x14ac:dyDescent="0.4">
      <c r="A24">
        <v>2020</v>
      </c>
      <c r="B24" s="25" t="s">
        <v>77</v>
      </c>
      <c r="C24" t="s">
        <v>63</v>
      </c>
      <c r="D24" s="25" t="s">
        <v>106</v>
      </c>
      <c r="E24">
        <v>41509903181.723083</v>
      </c>
      <c r="F24">
        <v>6949912</v>
      </c>
      <c r="H24" t="s">
        <v>63</v>
      </c>
      <c r="K24">
        <v>1</v>
      </c>
      <c r="L24">
        <f t="shared" si="0"/>
        <v>0</v>
      </c>
      <c r="M24">
        <f t="shared" si="1"/>
        <v>6949912</v>
      </c>
    </row>
    <row r="25" spans="1:13" x14ac:dyDescent="0.4">
      <c r="A25">
        <v>2020</v>
      </c>
      <c r="B25" s="25" t="s">
        <v>77</v>
      </c>
      <c r="C25" t="s">
        <v>45</v>
      </c>
      <c r="D25" s="25" t="s">
        <v>105</v>
      </c>
      <c r="E25">
        <v>2724001478304.5908</v>
      </c>
      <c r="F25">
        <v>66744000</v>
      </c>
      <c r="H25" t="s">
        <v>45</v>
      </c>
      <c r="I25" t="s">
        <v>200</v>
      </c>
      <c r="J25">
        <v>1</v>
      </c>
      <c r="L25">
        <f t="shared" si="0"/>
        <v>66744000</v>
      </c>
      <c r="M25">
        <f t="shared" si="1"/>
        <v>0</v>
      </c>
    </row>
    <row r="26" spans="1:13" x14ac:dyDescent="0.4">
      <c r="A26">
        <v>2020</v>
      </c>
      <c r="B26" s="25" t="s">
        <v>77</v>
      </c>
      <c r="C26" t="s">
        <v>65</v>
      </c>
      <c r="D26" s="25" t="s">
        <v>104</v>
      </c>
      <c r="E26">
        <v>66443265418.308647</v>
      </c>
      <c r="F26">
        <v>33586372</v>
      </c>
      <c r="H26" t="s">
        <v>65</v>
      </c>
      <c r="K26">
        <v>1</v>
      </c>
      <c r="L26">
        <f t="shared" si="0"/>
        <v>0</v>
      </c>
      <c r="M26">
        <f t="shared" si="1"/>
        <v>33586372</v>
      </c>
    </row>
    <row r="27" spans="1:13" x14ac:dyDescent="0.4">
      <c r="A27">
        <v>2020</v>
      </c>
      <c r="B27" s="25" t="s">
        <v>77</v>
      </c>
      <c r="C27" t="s">
        <v>64</v>
      </c>
      <c r="D27" s="25" t="s">
        <v>103</v>
      </c>
      <c r="E27">
        <v>156617722013.34219</v>
      </c>
      <c r="F27">
        <v>44680014</v>
      </c>
      <c r="H27" t="s">
        <v>64</v>
      </c>
      <c r="J27">
        <v>1</v>
      </c>
      <c r="L27">
        <f t="shared" si="0"/>
        <v>44680014</v>
      </c>
      <c r="M27">
        <f t="shared" si="1"/>
        <v>0</v>
      </c>
    </row>
    <row r="28" spans="1:13" x14ac:dyDescent="0.4">
      <c r="A28">
        <v>2020</v>
      </c>
      <c r="B28" s="25" t="s">
        <v>77</v>
      </c>
      <c r="C28" t="s">
        <v>102</v>
      </c>
      <c r="D28" s="25" t="s">
        <v>101</v>
      </c>
      <c r="E28">
        <v>733628247119.07715</v>
      </c>
      <c r="F28">
        <v>83384680</v>
      </c>
      <c r="H28" t="s">
        <v>53</v>
      </c>
      <c r="K28">
        <v>1</v>
      </c>
      <c r="L28">
        <f t="shared" si="0"/>
        <v>0</v>
      </c>
      <c r="M28">
        <f t="shared" si="1"/>
        <v>83384680</v>
      </c>
    </row>
    <row r="29" spans="1:13" x14ac:dyDescent="0.4">
      <c r="A29">
        <v>2020</v>
      </c>
      <c r="B29" s="25" t="s">
        <v>77</v>
      </c>
      <c r="C29" t="s">
        <v>52</v>
      </c>
      <c r="D29" s="25" t="s">
        <v>100</v>
      </c>
      <c r="E29">
        <v>741999406005.6272</v>
      </c>
      <c r="F29">
        <v>8638167</v>
      </c>
      <c r="H29" t="s">
        <v>52</v>
      </c>
      <c r="J29">
        <v>1</v>
      </c>
      <c r="L29">
        <f t="shared" si="0"/>
        <v>8638167</v>
      </c>
      <c r="M29">
        <f t="shared" si="1"/>
        <v>0</v>
      </c>
    </row>
    <row r="30" spans="1:13" x14ac:dyDescent="0.4">
      <c r="A30">
        <v>2020</v>
      </c>
      <c r="B30" s="25" t="s">
        <v>77</v>
      </c>
      <c r="C30" t="s">
        <v>41</v>
      </c>
      <c r="D30" s="25" t="s">
        <v>99</v>
      </c>
      <c r="E30">
        <v>1289783836971.2097</v>
      </c>
      <c r="F30">
        <v>47359424</v>
      </c>
      <c r="H30" t="s">
        <v>41</v>
      </c>
      <c r="J30">
        <v>1</v>
      </c>
      <c r="L30">
        <f t="shared" si="0"/>
        <v>47359424</v>
      </c>
      <c r="M30">
        <f t="shared" si="1"/>
        <v>0</v>
      </c>
    </row>
    <row r="31" spans="1:13" x14ac:dyDescent="0.4">
      <c r="A31">
        <v>2020</v>
      </c>
      <c r="B31" s="25" t="s">
        <v>77</v>
      </c>
      <c r="C31" t="s">
        <v>39</v>
      </c>
      <c r="D31" s="25" t="s">
        <v>98</v>
      </c>
      <c r="E31">
        <v>107732602896.44077</v>
      </c>
      <c r="F31">
        <v>5458827</v>
      </c>
      <c r="H31" t="s">
        <v>39</v>
      </c>
      <c r="J31">
        <v>1</v>
      </c>
      <c r="L31">
        <f t="shared" si="0"/>
        <v>5458827</v>
      </c>
      <c r="M31">
        <f t="shared" si="1"/>
        <v>0</v>
      </c>
    </row>
    <row r="32" spans="1:13" x14ac:dyDescent="0.4">
      <c r="A32">
        <v>2020</v>
      </c>
      <c r="B32" s="25" t="s">
        <v>77</v>
      </c>
      <c r="C32" t="s">
        <v>38</v>
      </c>
      <c r="D32" s="25" t="s">
        <v>97</v>
      </c>
      <c r="E32">
        <v>250625048303.57831</v>
      </c>
      <c r="F32">
        <v>19265250</v>
      </c>
      <c r="H32" t="s">
        <v>38</v>
      </c>
      <c r="J32">
        <v>1</v>
      </c>
      <c r="L32">
        <f t="shared" si="0"/>
        <v>19265250</v>
      </c>
      <c r="M32">
        <f t="shared" si="1"/>
        <v>0</v>
      </c>
    </row>
    <row r="33" spans="1:13" x14ac:dyDescent="0.4">
      <c r="A33">
        <v>2020</v>
      </c>
      <c r="B33" s="25" t="s">
        <v>77</v>
      </c>
      <c r="C33" t="s">
        <v>36</v>
      </c>
      <c r="D33" s="25" t="s">
        <v>96</v>
      </c>
      <c r="E33">
        <v>605914237903.74219</v>
      </c>
      <c r="F33">
        <v>37515748</v>
      </c>
      <c r="H33" t="s">
        <v>36</v>
      </c>
      <c r="J33">
        <v>1</v>
      </c>
      <c r="L33">
        <f t="shared" si="0"/>
        <v>37515748</v>
      </c>
      <c r="M33">
        <f t="shared" si="1"/>
        <v>0</v>
      </c>
    </row>
    <row r="34" spans="1:13" x14ac:dyDescent="0.4">
      <c r="A34">
        <v>2020</v>
      </c>
      <c r="B34" s="25" t="s">
        <v>77</v>
      </c>
      <c r="C34" t="s">
        <v>69</v>
      </c>
      <c r="D34" s="25" t="s">
        <v>95</v>
      </c>
      <c r="E34">
        <v>12361036913.840923</v>
      </c>
      <c r="F34">
        <v>1856124</v>
      </c>
      <c r="H34" t="s">
        <v>69</v>
      </c>
      <c r="J34">
        <v>1</v>
      </c>
      <c r="L34">
        <f t="shared" si="0"/>
        <v>1856124</v>
      </c>
      <c r="M34">
        <f t="shared" si="1"/>
        <v>0</v>
      </c>
    </row>
    <row r="35" spans="1:13" x14ac:dyDescent="0.4">
      <c r="A35">
        <v>2020</v>
      </c>
      <c r="B35" s="25" t="s">
        <v>77</v>
      </c>
      <c r="C35" t="s">
        <v>68</v>
      </c>
      <c r="D35" s="25" t="s">
        <v>94</v>
      </c>
      <c r="E35">
        <v>4723571497.7634687</v>
      </c>
      <c r="F35">
        <v>626590</v>
      </c>
      <c r="H35" t="s">
        <v>68</v>
      </c>
      <c r="J35">
        <v>1</v>
      </c>
      <c r="L35">
        <f t="shared" si="0"/>
        <v>626590</v>
      </c>
      <c r="M35">
        <f t="shared" si="1"/>
        <v>0</v>
      </c>
    </row>
    <row r="36" spans="1:13" x14ac:dyDescent="0.4">
      <c r="A36">
        <v>2020</v>
      </c>
      <c r="B36" s="25" t="s">
        <v>77</v>
      </c>
      <c r="C36" t="s">
        <v>93</v>
      </c>
      <c r="D36" s="25" t="s">
        <v>92</v>
      </c>
      <c r="E36">
        <v>11530746234.449179</v>
      </c>
      <c r="F36">
        <v>2635130</v>
      </c>
      <c r="H36" t="s">
        <v>60</v>
      </c>
      <c r="J36">
        <v>1</v>
      </c>
      <c r="L36">
        <f t="shared" si="0"/>
        <v>2635130</v>
      </c>
      <c r="M36">
        <f t="shared" si="1"/>
        <v>0</v>
      </c>
    </row>
    <row r="37" spans="1:13" x14ac:dyDescent="0.4">
      <c r="A37">
        <v>2020</v>
      </c>
      <c r="B37" s="25" t="s">
        <v>77</v>
      </c>
      <c r="C37" t="s">
        <v>32</v>
      </c>
      <c r="D37" s="25" t="s">
        <v>91</v>
      </c>
      <c r="E37">
        <v>57412038533.271751</v>
      </c>
      <c r="F37">
        <v>2810369</v>
      </c>
      <c r="H37" t="s">
        <v>32</v>
      </c>
      <c r="J37">
        <v>1</v>
      </c>
      <c r="L37">
        <f t="shared" si="0"/>
        <v>2810369</v>
      </c>
      <c r="M37">
        <f t="shared" si="1"/>
        <v>0</v>
      </c>
    </row>
    <row r="38" spans="1:13" x14ac:dyDescent="0.4">
      <c r="A38">
        <v>2020</v>
      </c>
      <c r="B38" s="25" t="s">
        <v>77</v>
      </c>
      <c r="C38" t="s">
        <v>31</v>
      </c>
      <c r="D38" s="25" t="s">
        <v>90</v>
      </c>
      <c r="E38">
        <v>33379927434.61488</v>
      </c>
      <c r="F38">
        <v>1900449</v>
      </c>
      <c r="H38" t="s">
        <v>31</v>
      </c>
      <c r="J38">
        <v>1</v>
      </c>
      <c r="L38">
        <f t="shared" si="0"/>
        <v>1900449</v>
      </c>
      <c r="M38">
        <f t="shared" si="1"/>
        <v>0</v>
      </c>
    </row>
    <row r="39" spans="1:13" x14ac:dyDescent="0.4">
      <c r="A39">
        <v>2020</v>
      </c>
      <c r="B39" s="25" t="s">
        <v>77</v>
      </c>
      <c r="C39" t="s">
        <v>89</v>
      </c>
      <c r="D39" s="25" t="s">
        <v>88</v>
      </c>
      <c r="E39">
        <v>7717143395.5473242</v>
      </c>
      <c r="F39">
        <v>1790151</v>
      </c>
      <c r="L39">
        <f t="shared" si="0"/>
        <v>0</v>
      </c>
      <c r="M39">
        <f t="shared" si="1"/>
        <v>0</v>
      </c>
    </row>
    <row r="40" spans="1:13" x14ac:dyDescent="0.4">
      <c r="A40">
        <v>2020</v>
      </c>
      <c r="B40" s="25" t="s">
        <v>77</v>
      </c>
      <c r="C40" t="s">
        <v>30</v>
      </c>
      <c r="D40" s="25" t="s">
        <v>87</v>
      </c>
      <c r="E40">
        <v>1907481094079.2271</v>
      </c>
      <c r="F40">
        <v>59438851</v>
      </c>
      <c r="H40" t="s">
        <v>30</v>
      </c>
      <c r="J40">
        <v>1</v>
      </c>
      <c r="L40">
        <f t="shared" si="0"/>
        <v>59438851</v>
      </c>
      <c r="M40">
        <f t="shared" si="1"/>
        <v>0</v>
      </c>
    </row>
    <row r="41" spans="1:13" x14ac:dyDescent="0.4">
      <c r="A41">
        <v>2020</v>
      </c>
      <c r="B41" s="25" t="s">
        <v>77</v>
      </c>
      <c r="C41" t="s">
        <v>29</v>
      </c>
      <c r="D41" s="25" t="s">
        <v>86</v>
      </c>
      <c r="E41">
        <v>436009027818.94751</v>
      </c>
      <c r="F41">
        <v>5039747</v>
      </c>
      <c r="H41" t="s">
        <v>29</v>
      </c>
      <c r="J41">
        <v>1</v>
      </c>
      <c r="L41">
        <f t="shared" si="0"/>
        <v>5039747</v>
      </c>
      <c r="M41">
        <f t="shared" si="1"/>
        <v>0</v>
      </c>
    </row>
    <row r="42" spans="1:13" x14ac:dyDescent="0.4">
      <c r="A42">
        <v>2020</v>
      </c>
      <c r="B42" s="25" t="s">
        <v>77</v>
      </c>
      <c r="C42" t="s">
        <v>27</v>
      </c>
      <c r="D42" s="25" t="s">
        <v>85</v>
      </c>
      <c r="E42">
        <v>191362985554.86124</v>
      </c>
      <c r="F42">
        <v>10698599</v>
      </c>
      <c r="H42" t="s">
        <v>27</v>
      </c>
      <c r="J42">
        <v>1</v>
      </c>
      <c r="L42">
        <f t="shared" si="0"/>
        <v>10698599</v>
      </c>
      <c r="M42">
        <f t="shared" si="1"/>
        <v>0</v>
      </c>
    </row>
    <row r="43" spans="1:13" x14ac:dyDescent="0.4">
      <c r="A43">
        <v>2020</v>
      </c>
      <c r="B43" s="25" t="s">
        <v>77</v>
      </c>
      <c r="C43" t="s">
        <v>28</v>
      </c>
      <c r="D43" s="25" t="s">
        <v>84</v>
      </c>
      <c r="E43">
        <v>158468487754.19629</v>
      </c>
      <c r="F43">
        <v>9670419</v>
      </c>
      <c r="H43" t="s">
        <v>28</v>
      </c>
      <c r="J43">
        <v>1</v>
      </c>
      <c r="L43">
        <f t="shared" si="0"/>
        <v>9670419</v>
      </c>
      <c r="M43">
        <f t="shared" si="1"/>
        <v>0</v>
      </c>
    </row>
    <row r="44" spans="1:13" x14ac:dyDescent="0.4">
      <c r="A44">
        <v>2020</v>
      </c>
      <c r="B44" s="25" t="s">
        <v>77</v>
      </c>
      <c r="C44" t="s">
        <v>26</v>
      </c>
      <c r="D44" s="25" t="s">
        <v>83</v>
      </c>
      <c r="E44">
        <v>3941398957073.9409</v>
      </c>
      <c r="F44">
        <v>83160871</v>
      </c>
      <c r="H44" t="s">
        <v>26</v>
      </c>
      <c r="J44">
        <v>1</v>
      </c>
      <c r="L44">
        <f t="shared" si="0"/>
        <v>83160871</v>
      </c>
      <c r="M44">
        <f t="shared" si="1"/>
        <v>0</v>
      </c>
    </row>
    <row r="45" spans="1:13" x14ac:dyDescent="0.4">
      <c r="A45">
        <v>2020</v>
      </c>
      <c r="B45" s="25" t="s">
        <v>77</v>
      </c>
      <c r="C45" t="s">
        <v>25</v>
      </c>
      <c r="D45" s="25" t="s">
        <v>82</v>
      </c>
      <c r="E45">
        <v>2647926055110.0464</v>
      </c>
      <c r="F45">
        <v>67601110</v>
      </c>
      <c r="H45" t="s">
        <v>25</v>
      </c>
      <c r="J45">
        <v>1</v>
      </c>
      <c r="L45">
        <f t="shared" si="0"/>
        <v>67601110</v>
      </c>
      <c r="M45">
        <f t="shared" si="1"/>
        <v>0</v>
      </c>
    </row>
    <row r="46" spans="1:13" x14ac:dyDescent="0.4">
      <c r="A46">
        <v>2020</v>
      </c>
      <c r="B46" s="25" t="s">
        <v>77</v>
      </c>
      <c r="C46" t="s">
        <v>18</v>
      </c>
      <c r="D46" s="25" t="s">
        <v>81</v>
      </c>
      <c r="E46">
        <v>355631021931.62103</v>
      </c>
      <c r="F46">
        <v>5831404</v>
      </c>
      <c r="H46" t="s">
        <v>18</v>
      </c>
      <c r="J46">
        <v>1</v>
      </c>
      <c r="L46">
        <f t="shared" si="0"/>
        <v>5831404</v>
      </c>
      <c r="M46">
        <f t="shared" si="1"/>
        <v>0</v>
      </c>
    </row>
    <row r="47" spans="1:13" x14ac:dyDescent="0.4">
      <c r="A47">
        <v>2020</v>
      </c>
      <c r="B47" s="25" t="s">
        <v>77</v>
      </c>
      <c r="C47" t="s">
        <v>16</v>
      </c>
      <c r="D47" s="25" t="s">
        <v>80</v>
      </c>
      <c r="E47">
        <v>25555093854.296829</v>
      </c>
      <c r="F47">
        <v>1302247</v>
      </c>
      <c r="H47" t="s">
        <v>16</v>
      </c>
      <c r="J47">
        <v>1</v>
      </c>
      <c r="L47">
        <f t="shared" si="0"/>
        <v>1302247</v>
      </c>
      <c r="M47">
        <f t="shared" si="1"/>
        <v>0</v>
      </c>
    </row>
    <row r="48" spans="1:13" x14ac:dyDescent="0.4">
      <c r="A48">
        <v>2020</v>
      </c>
      <c r="B48" s="25" t="s">
        <v>77</v>
      </c>
      <c r="C48" t="s">
        <v>67</v>
      </c>
      <c r="D48" s="25" t="s">
        <v>79</v>
      </c>
      <c r="E48">
        <v>20226038369.919102</v>
      </c>
      <c r="F48">
        <v>3299349</v>
      </c>
      <c r="H48" t="s">
        <v>67</v>
      </c>
      <c r="J48">
        <v>1</v>
      </c>
      <c r="L48">
        <f t="shared" si="0"/>
        <v>3299349</v>
      </c>
      <c r="M48">
        <f t="shared" si="1"/>
        <v>0</v>
      </c>
    </row>
    <row r="49" spans="1:13" x14ac:dyDescent="0.4">
      <c r="A49">
        <v>2020</v>
      </c>
      <c r="B49" s="25" t="s">
        <v>77</v>
      </c>
      <c r="C49" t="s">
        <v>56</v>
      </c>
      <c r="D49" s="25" t="s">
        <v>78</v>
      </c>
      <c r="E49">
        <v>61371673344.742424</v>
      </c>
      <c r="F49">
        <v>9379952</v>
      </c>
      <c r="H49" t="s">
        <v>56</v>
      </c>
      <c r="J49">
        <v>1</v>
      </c>
      <c r="L49">
        <f t="shared" si="0"/>
        <v>9379952</v>
      </c>
      <c r="M49">
        <f t="shared" si="1"/>
        <v>0</v>
      </c>
    </row>
    <row r="50" spans="1:13" x14ac:dyDescent="0.4">
      <c r="A50">
        <v>2020</v>
      </c>
      <c r="B50" s="25" t="s">
        <v>77</v>
      </c>
      <c r="C50" t="s">
        <v>12</v>
      </c>
      <c r="D50" s="25" t="s">
        <v>76</v>
      </c>
      <c r="E50">
        <v>434397601557.69617</v>
      </c>
      <c r="F50">
        <v>8916864</v>
      </c>
      <c r="H50" t="s">
        <v>12</v>
      </c>
      <c r="J50">
        <v>1</v>
      </c>
      <c r="L50">
        <f t="shared" si="0"/>
        <v>8916864</v>
      </c>
      <c r="M50">
        <f t="shared" si="1"/>
        <v>0</v>
      </c>
    </row>
    <row r="51" spans="1:13" x14ac:dyDescent="0.4">
      <c r="A51">
        <v>2020</v>
      </c>
      <c r="B51" s="25" t="s">
        <v>77</v>
      </c>
      <c r="C51" t="s">
        <v>194</v>
      </c>
      <c r="D51" s="25" t="s">
        <v>193</v>
      </c>
      <c r="E51">
        <v>2891002460.2915344</v>
      </c>
      <c r="F51">
        <v>77380</v>
      </c>
      <c r="I51" t="s">
        <v>198</v>
      </c>
      <c r="J51">
        <v>1</v>
      </c>
      <c r="L51">
        <f t="shared" si="0"/>
        <v>77380</v>
      </c>
      <c r="M51">
        <f t="shared" si="1"/>
        <v>0</v>
      </c>
    </row>
    <row r="52" spans="1:13" x14ac:dyDescent="0.4">
      <c r="A52">
        <v>2020</v>
      </c>
      <c r="B52" s="25" t="s">
        <v>77</v>
      </c>
      <c r="C52" t="s">
        <v>192</v>
      </c>
      <c r="D52" s="25" t="s">
        <v>191</v>
      </c>
      <c r="E52" t="s">
        <v>190</v>
      </c>
      <c r="F52">
        <v>36173</v>
      </c>
      <c r="I52" t="s">
        <v>192</v>
      </c>
      <c r="J52">
        <v>1</v>
      </c>
      <c r="L52">
        <f t="shared" si="0"/>
        <v>36173</v>
      </c>
      <c r="M52">
        <f t="shared" si="1"/>
        <v>0</v>
      </c>
    </row>
    <row r="53" spans="1:13" x14ac:dyDescent="0.4">
      <c r="A53">
        <v>2020</v>
      </c>
      <c r="B53" s="25" t="s">
        <v>77</v>
      </c>
      <c r="C53" t="s">
        <v>189</v>
      </c>
      <c r="D53" s="25" t="s">
        <v>188</v>
      </c>
      <c r="E53">
        <v>6405870210.3229303</v>
      </c>
      <c r="F53">
        <v>38901</v>
      </c>
      <c r="I53" t="s">
        <v>189</v>
      </c>
      <c r="J53">
        <v>1</v>
      </c>
      <c r="L53">
        <f t="shared" si="0"/>
        <v>38901</v>
      </c>
      <c r="M53">
        <f t="shared" si="1"/>
        <v>0</v>
      </c>
    </row>
    <row r="54" spans="1:13" x14ac:dyDescent="0.4">
      <c r="A54">
        <v>2020</v>
      </c>
      <c r="B54" s="25" t="s">
        <v>77</v>
      </c>
      <c r="C54" t="s">
        <v>187</v>
      </c>
      <c r="D54" s="25" t="s">
        <v>186</v>
      </c>
      <c r="E54">
        <v>6730736282.7896099</v>
      </c>
      <c r="F54">
        <v>38050</v>
      </c>
      <c r="I54" t="s">
        <v>198</v>
      </c>
      <c r="J54">
        <v>1</v>
      </c>
      <c r="L54">
        <f t="shared" si="0"/>
        <v>38050</v>
      </c>
      <c r="M54">
        <f t="shared" si="1"/>
        <v>0</v>
      </c>
    </row>
    <row r="55" spans="1:13" x14ac:dyDescent="0.4">
      <c r="A55">
        <v>2020</v>
      </c>
      <c r="B55" s="25" t="s">
        <v>77</v>
      </c>
      <c r="C55" t="s">
        <v>185</v>
      </c>
      <c r="D55" s="25" t="s">
        <v>184</v>
      </c>
      <c r="E55">
        <v>9439810769.2307682</v>
      </c>
      <c r="F55">
        <v>166235</v>
      </c>
      <c r="I55" t="s">
        <v>198</v>
      </c>
      <c r="J55">
        <v>1</v>
      </c>
      <c r="L55">
        <f t="shared" si="0"/>
        <v>166235</v>
      </c>
      <c r="M55">
        <f t="shared" si="1"/>
        <v>0</v>
      </c>
    </row>
    <row r="56" spans="1:13" x14ac:dyDescent="0.4">
      <c r="A56">
        <v>2020</v>
      </c>
      <c r="B56" s="25" t="s">
        <v>77</v>
      </c>
      <c r="C56" t="s">
        <v>183</v>
      </c>
      <c r="D56" s="25" t="s">
        <v>182</v>
      </c>
      <c r="E56">
        <v>1541248248.8072708</v>
      </c>
      <c r="F56">
        <v>34770</v>
      </c>
      <c r="I56" t="s">
        <v>199</v>
      </c>
      <c r="J56">
        <v>1</v>
      </c>
      <c r="L56">
        <f t="shared" si="0"/>
        <v>34770</v>
      </c>
      <c r="M56">
        <f t="shared" si="1"/>
        <v>0</v>
      </c>
    </row>
    <row r="57" spans="1:13" x14ac:dyDescent="0.4">
      <c r="A57">
        <v>2020</v>
      </c>
      <c r="B57" t="s">
        <v>77</v>
      </c>
      <c r="C57" t="s">
        <v>46</v>
      </c>
      <c r="D57" t="s">
        <v>201</v>
      </c>
      <c r="E57">
        <v>22034665040.7901</v>
      </c>
      <c r="F57">
        <v>366463</v>
      </c>
      <c r="H57" t="s">
        <v>46</v>
      </c>
      <c r="J57">
        <v>1</v>
      </c>
      <c r="L57">
        <f t="shared" si="0"/>
        <v>366463</v>
      </c>
      <c r="M57">
        <f t="shared" si="1"/>
        <v>0</v>
      </c>
    </row>
    <row r="58" spans="1:13" x14ac:dyDescent="0.4">
      <c r="B58" s="25"/>
      <c r="D58" s="25"/>
      <c r="L58" s="26">
        <f>SUM(L2:L57)</f>
        <v>745109060</v>
      </c>
      <c r="M58" s="26">
        <f>SUM(M2:M57)</f>
        <v>176656324</v>
      </c>
    </row>
    <row r="59" spans="1:13" x14ac:dyDescent="0.4">
      <c r="B59" s="25"/>
      <c r="D59" s="25"/>
    </row>
    <row r="60" spans="1:13" x14ac:dyDescent="0.4">
      <c r="A60" t="s">
        <v>75</v>
      </c>
      <c r="B60" s="25"/>
      <c r="D60" s="25"/>
    </row>
    <row r="61" spans="1:13" x14ac:dyDescent="0.4">
      <c r="A61" t="s">
        <v>74</v>
      </c>
    </row>
    <row r="76" spans="8:10" x14ac:dyDescent="0.4">
      <c r="H76" t="s">
        <v>34</v>
      </c>
      <c r="J76" t="s">
        <v>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0F39-0B64-4B49-A2C5-537DBA68F68B}">
  <dimension ref="A1:P3"/>
  <sheetViews>
    <sheetView workbookViewId="0"/>
  </sheetViews>
  <sheetFormatPr defaultRowHeight="14.6" x14ac:dyDescent="0.4"/>
  <cols>
    <col min="1" max="1" width="15.765625" customWidth="1"/>
    <col min="2" max="16" width="50.765625" customWidth="1"/>
  </cols>
  <sheetData>
    <row r="1" spans="1:16" x14ac:dyDescent="0.4">
      <c r="A1" t="s">
        <v>181</v>
      </c>
      <c r="B1" t="s">
        <v>180</v>
      </c>
      <c r="C1" t="s">
        <v>179</v>
      </c>
      <c r="D1" t="s">
        <v>178</v>
      </c>
      <c r="E1" t="s">
        <v>177</v>
      </c>
      <c r="F1" t="s">
        <v>176</v>
      </c>
      <c r="G1" t="s">
        <v>175</v>
      </c>
      <c r="H1" t="s">
        <v>174</v>
      </c>
      <c r="I1" t="s">
        <v>173</v>
      </c>
      <c r="J1" t="s">
        <v>172</v>
      </c>
      <c r="K1" t="s">
        <v>171</v>
      </c>
      <c r="L1" t="s">
        <v>170</v>
      </c>
      <c r="M1" t="s">
        <v>169</v>
      </c>
      <c r="N1" t="s">
        <v>168</v>
      </c>
      <c r="O1" t="s">
        <v>167</v>
      </c>
      <c r="P1" t="s">
        <v>166</v>
      </c>
    </row>
    <row r="2" spans="1:16" x14ac:dyDescent="0.4">
      <c r="A2" t="s">
        <v>165</v>
      </c>
      <c r="B2" t="s">
        <v>153</v>
      </c>
      <c r="C2" t="s">
        <v>164</v>
      </c>
      <c r="D2" t="s">
        <v>163</v>
      </c>
      <c r="E2" t="s">
        <v>162</v>
      </c>
      <c r="F2" t="s">
        <v>161</v>
      </c>
      <c r="G2" t="s">
        <v>148</v>
      </c>
      <c r="H2" t="s">
        <v>160</v>
      </c>
      <c r="I2" t="s">
        <v>146</v>
      </c>
      <c r="J2" t="s">
        <v>159</v>
      </c>
      <c r="K2" t="s">
        <v>158</v>
      </c>
      <c r="L2" t="s">
        <v>157</v>
      </c>
      <c r="M2" t="s">
        <v>156</v>
      </c>
      <c r="N2" t="s">
        <v>155</v>
      </c>
      <c r="P2" t="s">
        <v>139</v>
      </c>
    </row>
    <row r="3" spans="1:16" x14ac:dyDescent="0.4">
      <c r="A3" t="s">
        <v>154</v>
      </c>
      <c r="B3" t="s">
        <v>153</v>
      </c>
      <c r="C3" t="s">
        <v>152</v>
      </c>
      <c r="D3" t="s">
        <v>151</v>
      </c>
      <c r="E3" t="s">
        <v>150</v>
      </c>
      <c r="F3" t="s">
        <v>149</v>
      </c>
      <c r="G3" t="s">
        <v>148</v>
      </c>
      <c r="H3" t="s">
        <v>147</v>
      </c>
      <c r="I3" t="s">
        <v>146</v>
      </c>
      <c r="J3" t="s">
        <v>145</v>
      </c>
      <c r="K3" t="s">
        <v>144</v>
      </c>
      <c r="L3" t="s">
        <v>143</v>
      </c>
      <c r="M3" t="s">
        <v>142</v>
      </c>
      <c r="N3" t="s">
        <v>141</v>
      </c>
      <c r="O3" t="s">
        <v>140</v>
      </c>
      <c r="P3" t="s">
        <v>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8478d6-e45f-463e-b166-5a01b5e53481">
      <Terms xmlns="http://schemas.microsoft.com/office/infopath/2007/PartnerControls"/>
    </lcf76f155ced4ddcb4097134ff3c332f>
    <TaxCatchAll xmlns="64bc8f4d-cac8-469d-840e-d8b6f8e247f0" xsi:nil="true"/>
    <_dlc_DocId xmlns="64bc8f4d-cac8-469d-840e-d8b6f8e247f0">4FMPXW5WT43S-1005746519-444</_dlc_DocId>
    <_dlc_DocIdUrl xmlns="64bc8f4d-cac8-469d-840e-d8b6f8e247f0">
      <Url>https://anthesisllc.sharepoint.com/teams/External_-_Nordic_SLCPs_365/_layouts/15/DocIdRedir.aspx?ID=4FMPXW5WT43S-1005746519-444</Url>
      <Description>4FMPXW5WT43S-1005746519-444</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EE726821B4414D4F801789566814E9B0" ma:contentTypeVersion="14" ma:contentTypeDescription="Skapa ett nytt dokument." ma:contentTypeScope="" ma:versionID="9640bda3b9888aac721eb9060946fcb8">
  <xsd:schema xmlns:xsd="http://www.w3.org/2001/XMLSchema" xmlns:xs="http://www.w3.org/2001/XMLSchema" xmlns:p="http://schemas.microsoft.com/office/2006/metadata/properties" xmlns:ns2="64bc8f4d-cac8-469d-840e-d8b6f8e247f0" xmlns:ns3="458478d6-e45f-463e-b166-5a01b5e53481" targetNamespace="http://schemas.microsoft.com/office/2006/metadata/properties" ma:root="true" ma:fieldsID="1f4623e60d5b6808aeaedb8b4af22e75" ns2:_="" ns3:_="">
    <xsd:import namespace="64bc8f4d-cac8-469d-840e-d8b6f8e247f0"/>
    <xsd:import namespace="458478d6-e45f-463e-b166-5a01b5e53481"/>
    <xsd:element name="properties">
      <xsd:complexType>
        <xsd:sequence>
          <xsd:element name="documentManagement">
            <xsd:complexType>
              <xsd:all>
                <xsd:element ref="ns2:SharedWithUsers" minOccurs="0"/>
                <xsd:element ref="ns2:SharedWithDetails" minOccurs="0"/>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c8f4d-cac8-469d-840e-d8b6f8e247f0"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_dlc_DocId" ma:index="10" nillable="true" ma:displayName="Dokument-ID-värde" ma:description="Värdet för dokument-ID som tilldelats till det här objektet." ma:indexed="true" ma:internalName="_dlc_DocId" ma:readOnly="true">
      <xsd:simpleType>
        <xsd:restriction base="dms:Text"/>
      </xsd:simpleType>
    </xsd:element>
    <xsd:element name="_dlc_DocIdUrl" ma:index="11" nillable="true" ma:displayName="Dokument-ID" ma:description="Permanent länk till det här dokumente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TaxCatchAll" ma:index="19" nillable="true" ma:displayName="Taxonomy Catch All Column" ma:hidden="true" ma:list="{baa4500e-c61e-4159-b67e-c6133d211784}" ma:internalName="TaxCatchAll" ma:showField="CatchAllData" ma:web="64bc8f4d-cac8-469d-840e-d8b6f8e247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8478d6-e45f-463e-b166-5a01b5e53481"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Bildmarkeringar" ma:readOnly="false" ma:fieldId="{5cf76f15-5ced-4ddc-b409-7134ff3c332f}" ma:taxonomyMulti="true" ma:sspId="b7d5c9cd-1d9d-4498-a792-f3e3b2446e27"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157FC-9AB7-471E-8A38-484235567C74}">
  <ds:schemaRefs>
    <ds:schemaRef ds:uri="http://schemas.microsoft.com/sharepoint/v3/contenttype/forms"/>
  </ds:schemaRefs>
</ds:datastoreItem>
</file>

<file path=customXml/itemProps2.xml><?xml version="1.0" encoding="utf-8"?>
<ds:datastoreItem xmlns:ds="http://schemas.openxmlformats.org/officeDocument/2006/customXml" ds:itemID="{4A959997-138A-426D-9C5C-866D09D94D10}">
  <ds:schemaRefs>
    <ds:schemaRef ds:uri="http://schemas.microsoft.com/sharepoint/events"/>
  </ds:schemaRefs>
</ds:datastoreItem>
</file>

<file path=customXml/itemProps3.xml><?xml version="1.0" encoding="utf-8"?>
<ds:datastoreItem xmlns:ds="http://schemas.openxmlformats.org/officeDocument/2006/customXml" ds:itemID="{FA28B098-AA57-4494-8DA3-761B84790965}">
  <ds:schemaRefs>
    <ds:schemaRef ds:uri="http://schemas.microsoft.com/office/2006/metadata/properties"/>
    <ds:schemaRef ds:uri="http://schemas.microsoft.com/office/infopath/2007/PartnerControls"/>
    <ds:schemaRef ds:uri="458478d6-e45f-463e-b166-5a01b5e53481"/>
    <ds:schemaRef ds:uri="64bc8f4d-cac8-469d-840e-d8b6f8e247f0"/>
  </ds:schemaRefs>
</ds:datastoreItem>
</file>

<file path=customXml/itemProps4.xml><?xml version="1.0" encoding="utf-8"?>
<ds:datastoreItem xmlns:ds="http://schemas.openxmlformats.org/officeDocument/2006/customXml" ds:itemID="{C45305E3-4428-404D-9053-86A1EAC916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c8f4d-cac8-469d-840e-d8b6f8e247f0"/>
    <ds:schemaRef ds:uri="458478d6-e45f-463e-b166-5a01b5e534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VALESOR VOLY VSL vQALY</vt:lpstr>
      <vt:lpstr>INFO</vt:lpstr>
      <vt:lpstr>Data</vt:lpstr>
      <vt:lpstr>Series -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 Strömberg</dc:creator>
  <cp:keywords/>
  <dc:description/>
  <cp:lastModifiedBy>Lovisa Årebäck</cp:lastModifiedBy>
  <cp:revision/>
  <dcterms:created xsi:type="dcterms:W3CDTF">2025-05-06T16:29:00Z</dcterms:created>
  <dcterms:modified xsi:type="dcterms:W3CDTF">2026-04-17T14:27:49Z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0x010100EE726821B4414D4F801789566814E9B0</vt:lpwstr>
  </property>
  <property fmtid="{D5CDD505-2E9C-101B-9397-08002B2CF9AE}" pid="3" name="MediaServiceImageTags">
    <vt:lpwstr/>
  </property>
  <property fmtid="{D5CDD505-2E9C-101B-9397-08002B2CF9AE}" pid="4" name="_dlc_DocIdItemGuid">
    <vt:lpwstr>ea2e07c5-b594-4025-8502-fdaa92abe1f6</vt:lpwstr>
  </property>
</Properties>
</file>
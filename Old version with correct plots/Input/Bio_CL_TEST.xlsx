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CBA_GBG_PROT\Input\"/>
    </mc:Choice>
  </mc:AlternateContent>
  <xr:revisionPtr revIDLastSave="0" documentId="13_ncr:1_{C3469B72-CB01-476F-AD99-A32BCB885F92}" xr6:coauthVersionLast="47" xr6:coauthVersionMax="47" xr10:uidLastSave="{00000000-0000-0000-0000-000000000000}"/>
  <bookViews>
    <workbookView xWindow="-108" yWindow="-108" windowWidth="23256" windowHeight="12456" activeTab="1" xr2:uid="{51BA652E-356D-41BC-AAD2-EF704DC35090}"/>
  </bookViews>
  <sheets>
    <sheet name="bio_critical_load (2)" sheetId="3" r:id="rId1"/>
    <sheet name="bio_critical_load (1)" sheetId="2" r:id="rId2"/>
    <sheet name="bio_critical_load (3)" sheetId="4" r:id="rId3"/>
    <sheet name="bio_critical_load (4)" sheetId="5" r:id="rId4"/>
    <sheet name="bio_critical_load (5)" sheetId="6" r:id="rId5"/>
    <sheet name="bio_critical_load (6)" sheetId="7" r:id="rId6"/>
    <sheet name="bio_critical_load (7)" sheetId="8" r:id="rId7"/>
    <sheet name="bio_critical_load (8)" sheetId="9" r:id="rId8"/>
    <sheet name="Sheet1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J5" i="2" s="1"/>
  <c r="G7" i="9"/>
  <c r="G6" i="9"/>
  <c r="G5" i="9"/>
</calcChain>
</file>

<file path=xl/sharedStrings.xml><?xml version="1.0" encoding="utf-8"?>
<sst xmlns="http://schemas.openxmlformats.org/spreadsheetml/2006/main" count="820" uniqueCount="82">
  <si>
    <t>Total</t>
  </si>
  <si>
    <t>NON EU27 Total</t>
  </si>
  <si>
    <t>United Kingdom</t>
  </si>
  <si>
    <t xml:space="preserve">NON EU27 </t>
  </si>
  <si>
    <t>Ukraine</t>
  </si>
  <si>
    <t>Switzerland</t>
  </si>
  <si>
    <t>Serbia</t>
  </si>
  <si>
    <t>Russia</t>
  </si>
  <si>
    <t>Norway</t>
  </si>
  <si>
    <t>Montenegro</t>
  </si>
  <si>
    <t>Republic of Moldova</t>
  </si>
  <si>
    <t>North Macedonia</t>
  </si>
  <si>
    <t>Kosovo</t>
  </si>
  <si>
    <t>Bosnia and Herzegovina</t>
  </si>
  <si>
    <t>Belarus</t>
  </si>
  <si>
    <t>Albania</t>
  </si>
  <si>
    <t>EU27 Total</t>
  </si>
  <si>
    <t>Sweden</t>
  </si>
  <si>
    <t xml:space="preserve">EU27 </t>
  </si>
  <si>
    <t>Spain</t>
  </si>
  <si>
    <t>Slovenia</t>
  </si>
  <si>
    <t>Slovak Republic</t>
  </si>
  <si>
    <t>Romania</t>
  </si>
  <si>
    <t>Portugal</t>
  </si>
  <si>
    <t>Poland</t>
  </si>
  <si>
    <t>Netherlands</t>
  </si>
  <si>
    <t>Malta</t>
  </si>
  <si>
    <t>Luxembourg</t>
  </si>
  <si>
    <t>Lithuania</t>
  </si>
  <si>
    <t>Latvia</t>
  </si>
  <si>
    <t>Italy</t>
  </si>
  <si>
    <t>Ireland</t>
  </si>
  <si>
    <t>Hungary</t>
  </si>
  <si>
    <t>Greece</t>
  </si>
  <si>
    <t>Germany</t>
  </si>
  <si>
    <t>France</t>
  </si>
  <si>
    <t>Finland</t>
  </si>
  <si>
    <t>Estonia</t>
  </si>
  <si>
    <t>Denmark</t>
  </si>
  <si>
    <t>Czech Republic</t>
  </si>
  <si>
    <t>Cyprus</t>
  </si>
  <si>
    <t>Croatia</t>
  </si>
  <si>
    <t>Bulgaria</t>
  </si>
  <si>
    <t>Belgium</t>
  </si>
  <si>
    <t>Austria</t>
  </si>
  <si>
    <t>Semi-natural AAE</t>
  </si>
  <si>
    <t>% Semi-natural area exc</t>
  </si>
  <si>
    <t>Total semi-natural area</t>
  </si>
  <si>
    <t>Catchment AAE</t>
  </si>
  <si>
    <t>% Catchment area exc</t>
  </si>
  <si>
    <t>Total catchment area</t>
  </si>
  <si>
    <t>Forest AAE</t>
  </si>
  <si>
    <t>% Forest area exc</t>
  </si>
  <si>
    <t>Total forest area</t>
  </si>
  <si>
    <t>Total AAE</t>
  </si>
  <si>
    <t>% Total ecosystems area exc</t>
  </si>
  <si>
    <t>Total ecosystems area</t>
  </si>
  <si>
    <t>UserID: StefanA</t>
  </si>
  <si>
    <t>Unit: 1000 km2</t>
  </si>
  <si>
    <t>Year: 2040</t>
  </si>
  <si>
    <t xml:space="preserve">Region: </t>
  </si>
  <si>
    <t>Scenario: A1r/d/D/v6b</t>
  </si>
  <si>
    <t>Eutrophication: Exceedance of Critical Loads (all ecosystems)</t>
  </si>
  <si>
    <t>Scenario: Base_v6b</t>
  </si>
  <si>
    <t>Scenario: C1/d/D/v6b</t>
  </si>
  <si>
    <t>Scenario: C2/d/D/v6b</t>
  </si>
  <si>
    <t>Scenario: D1/d/D/v6b</t>
  </si>
  <si>
    <t>Scenario: D2/d/D/v6b</t>
  </si>
  <si>
    <t>Scenario: D3/d/D/v6b</t>
  </si>
  <si>
    <t>Scenario: MTFR_v6b</t>
  </si>
  <si>
    <t>DELTA Aae</t>
  </si>
  <si>
    <t>ÖVERGÖDNINGSEKVIVALENTER PER 1000 KM2</t>
  </si>
  <si>
    <t>Ne_to_N</t>
  </si>
  <si>
    <t>Övergödningsekvivalent för Kväve</t>
  </si>
  <si>
    <t>NEG IMPACT [massa]</t>
  </si>
  <si>
    <t>Neg impact [€]</t>
  </si>
  <si>
    <t>fertilizer price</t>
  </si>
  <si>
    <t xml:space="preserve"> €/ton N</t>
  </si>
  <si>
    <t>€</t>
  </si>
  <si>
    <t>LOW_MID_HIGH</t>
  </si>
  <si>
    <t xml:space="preserve">delta area = </t>
  </si>
  <si>
    <t>management cost per 1000 km2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</si>
</sst>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B21E7-2E8E-4E86-A98F-15ECF3D230DA}">
  <dimension ref="A2:N52"/>
  <sheetViews>
    <sheetView workbookViewId="0">
      <selection activeCell="G10" sqref="G10"/>
    </sheetView>
  </sheetViews>
  <sheetFormatPr defaultRowHeight="14.4" x14ac:dyDescent="0.3"/>
  <cols>
    <col min="3" max="14" width="15.6640625" customWidth="1"/>
  </cols>
  <sheetData>
    <row r="2" spans="1:14" x14ac:dyDescent="0.3">
      <c r="A2" t="s">
        <v>62</v>
      </c>
    </row>
    <row r="3" spans="1:14" x14ac:dyDescent="0.3">
      <c r="A3" t="s">
        <v>63</v>
      </c>
    </row>
    <row r="4" spans="1:14" x14ac:dyDescent="0.3">
      <c r="A4" t="s">
        <v>60</v>
      </c>
    </row>
    <row r="5" spans="1:14" x14ac:dyDescent="0.3">
      <c r="A5" t="s">
        <v>59</v>
      </c>
    </row>
    <row r="6" spans="1:14" x14ac:dyDescent="0.3">
      <c r="A6" t="s">
        <v>58</v>
      </c>
    </row>
    <row r="7" spans="1:14" x14ac:dyDescent="0.3">
      <c r="A7" t="s">
        <v>57</v>
      </c>
    </row>
    <row r="9" spans="1:14" x14ac:dyDescent="0.3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3">
      <c r="A10" t="s">
        <v>18</v>
      </c>
      <c r="B10" t="s">
        <v>44</v>
      </c>
      <c r="C10">
        <v>50.48854</v>
      </c>
      <c r="D10">
        <v>33.929363000000002</v>
      </c>
      <c r="E10">
        <v>84.323459</v>
      </c>
      <c r="F10">
        <v>39.292830000000002</v>
      </c>
      <c r="G10">
        <v>35.764693000000001</v>
      </c>
      <c r="H10">
        <v>97.390231</v>
      </c>
      <c r="I10">
        <v>5.1999999999999995E-4</v>
      </c>
      <c r="J10">
        <v>0</v>
      </c>
      <c r="K10">
        <v>0</v>
      </c>
      <c r="L10">
        <v>11.19519</v>
      </c>
      <c r="M10">
        <v>27.486090000000001</v>
      </c>
      <c r="N10">
        <v>38.444800999999998</v>
      </c>
    </row>
    <row r="11" spans="1:14" x14ac:dyDescent="0.3">
      <c r="A11" t="s">
        <v>18</v>
      </c>
      <c r="B11" t="s">
        <v>43</v>
      </c>
      <c r="C11">
        <v>15.55151</v>
      </c>
      <c r="D11">
        <v>48.692248999999997</v>
      </c>
      <c r="E11">
        <v>429.09544199999999</v>
      </c>
      <c r="F11">
        <v>12.818580000000001</v>
      </c>
      <c r="G11">
        <v>52.580395000000003</v>
      </c>
      <c r="H11">
        <v>493.34493600000002</v>
      </c>
      <c r="I11">
        <v>0.13514999999999999</v>
      </c>
      <c r="J11">
        <v>18.039216</v>
      </c>
      <c r="K11">
        <v>33.362644000000003</v>
      </c>
      <c r="L11">
        <v>2.5977800000000002</v>
      </c>
      <c r="M11">
        <v>31.101171000000001</v>
      </c>
      <c r="N11">
        <v>132.64847900000001</v>
      </c>
    </row>
    <row r="12" spans="1:14" x14ac:dyDescent="0.3">
      <c r="A12" t="s">
        <v>18</v>
      </c>
      <c r="B12" t="s">
        <v>42</v>
      </c>
      <c r="C12">
        <v>54.322257</v>
      </c>
      <c r="D12">
        <v>72.236210999999997</v>
      </c>
      <c r="E12">
        <v>168.256574</v>
      </c>
      <c r="F12">
        <v>37.227128</v>
      </c>
      <c r="G12">
        <v>59.486758000000002</v>
      </c>
      <c r="H12">
        <v>75.70599</v>
      </c>
      <c r="I12">
        <v>0</v>
      </c>
      <c r="J12">
        <v>0</v>
      </c>
      <c r="K12">
        <v>0</v>
      </c>
      <c r="L12">
        <v>17.095129</v>
      </c>
      <c r="M12">
        <v>100</v>
      </c>
      <c r="N12">
        <v>369.798925</v>
      </c>
    </row>
    <row r="13" spans="1:14" x14ac:dyDescent="0.3">
      <c r="A13" t="s">
        <v>18</v>
      </c>
      <c r="B13" t="s">
        <v>41</v>
      </c>
      <c r="C13">
        <v>36.410994000000002</v>
      </c>
      <c r="D13">
        <v>77.706721000000002</v>
      </c>
      <c r="E13">
        <v>296.07790299999999</v>
      </c>
      <c r="F13">
        <v>19.764983000000001</v>
      </c>
      <c r="G13">
        <v>58.931387000000001</v>
      </c>
      <c r="H13">
        <v>163.38313199999999</v>
      </c>
      <c r="I13">
        <v>0</v>
      </c>
      <c r="J13">
        <v>0</v>
      </c>
      <c r="K13">
        <v>0</v>
      </c>
      <c r="L13">
        <v>16.646011000000001</v>
      </c>
      <c r="M13">
        <v>100</v>
      </c>
      <c r="N13">
        <v>453.63576799999998</v>
      </c>
    </row>
    <row r="14" spans="1:14" x14ac:dyDescent="0.3">
      <c r="A14" t="s">
        <v>18</v>
      </c>
      <c r="B14" t="s">
        <v>40</v>
      </c>
      <c r="C14">
        <v>1.69143</v>
      </c>
      <c r="D14">
        <v>100</v>
      </c>
      <c r="E14">
        <v>389.35010999999997</v>
      </c>
      <c r="F14">
        <v>0.65830999999999995</v>
      </c>
      <c r="G14">
        <v>100</v>
      </c>
      <c r="H14">
        <v>424.577853</v>
      </c>
      <c r="I14">
        <v>0</v>
      </c>
      <c r="J14">
        <v>0</v>
      </c>
      <c r="K14">
        <v>0</v>
      </c>
      <c r="L14">
        <v>1.03312</v>
      </c>
      <c r="M14">
        <v>100</v>
      </c>
      <c r="N14">
        <v>366.90278999999998</v>
      </c>
    </row>
    <row r="15" spans="1:14" x14ac:dyDescent="0.3">
      <c r="A15" t="s">
        <v>18</v>
      </c>
      <c r="B15" t="s">
        <v>39</v>
      </c>
      <c r="C15">
        <v>23.831250000000001</v>
      </c>
      <c r="D15">
        <v>60.797272</v>
      </c>
      <c r="E15">
        <v>107.306104</v>
      </c>
      <c r="F15">
        <v>23.71875</v>
      </c>
      <c r="G15">
        <v>60.861133000000002</v>
      </c>
      <c r="H15">
        <v>107.44173000000001</v>
      </c>
      <c r="I15">
        <v>0</v>
      </c>
      <c r="J15">
        <v>0</v>
      </c>
      <c r="K15">
        <v>0</v>
      </c>
      <c r="L15">
        <v>0.1125</v>
      </c>
      <c r="M15">
        <v>47.333333000000003</v>
      </c>
      <c r="N15">
        <v>78.711530999999994</v>
      </c>
    </row>
    <row r="16" spans="1:14" x14ac:dyDescent="0.3">
      <c r="A16" t="s">
        <v>18</v>
      </c>
      <c r="B16" t="s">
        <v>38</v>
      </c>
      <c r="C16">
        <v>6.6650200000000002</v>
      </c>
      <c r="D16">
        <v>99.482821999999999</v>
      </c>
      <c r="E16">
        <v>531.54668400000003</v>
      </c>
      <c r="F16">
        <v>3.79548</v>
      </c>
      <c r="G16">
        <v>99.091813999999999</v>
      </c>
      <c r="H16">
        <v>471.72638599999999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>
        <v>610.66972999999996</v>
      </c>
    </row>
    <row r="17" spans="1:14" x14ac:dyDescent="0.3">
      <c r="A17" t="s">
        <v>18</v>
      </c>
      <c r="B17" t="s">
        <v>37</v>
      </c>
      <c r="C17">
        <v>30.592469999999999</v>
      </c>
      <c r="D17">
        <v>28.840692000000001</v>
      </c>
      <c r="E17">
        <v>26.237601999999999</v>
      </c>
      <c r="F17">
        <v>21.647210000000001</v>
      </c>
      <c r="G17">
        <v>0.63832699999999998</v>
      </c>
      <c r="H17">
        <v>0.211419</v>
      </c>
      <c r="I17">
        <v>0</v>
      </c>
      <c r="J17">
        <v>0</v>
      </c>
      <c r="K17">
        <v>0</v>
      </c>
      <c r="L17">
        <v>8.9452599999999993</v>
      </c>
      <c r="M17">
        <v>97.089408000000006</v>
      </c>
      <c r="N17">
        <v>89.220038000000002</v>
      </c>
    </row>
    <row r="18" spans="1:14" x14ac:dyDescent="0.3">
      <c r="A18" t="s">
        <v>18</v>
      </c>
      <c r="B18" t="s">
        <v>36</v>
      </c>
      <c r="C18">
        <v>41.047379999999997</v>
      </c>
      <c r="D18">
        <v>0.93163099999999999</v>
      </c>
      <c r="E18">
        <v>0.23550199999999999</v>
      </c>
      <c r="F18">
        <v>17.296330000000001</v>
      </c>
      <c r="G18">
        <v>0.50426899999999997</v>
      </c>
      <c r="H18">
        <v>0.13097</v>
      </c>
      <c r="I18">
        <v>6.7621799999999999</v>
      </c>
      <c r="J18">
        <v>4.3653079999999997</v>
      </c>
      <c r="K18">
        <v>1.094536</v>
      </c>
      <c r="L18">
        <v>16.988869999999999</v>
      </c>
      <c r="M18">
        <v>0</v>
      </c>
      <c r="N18">
        <v>0</v>
      </c>
    </row>
    <row r="19" spans="1:14" x14ac:dyDescent="0.3">
      <c r="A19" t="s">
        <v>18</v>
      </c>
      <c r="B19" t="s">
        <v>35</v>
      </c>
      <c r="C19">
        <v>176.93678</v>
      </c>
      <c r="D19">
        <v>58.361128000000001</v>
      </c>
      <c r="E19">
        <v>159.693454</v>
      </c>
      <c r="F19">
        <v>170.24708000000001</v>
      </c>
      <c r="G19">
        <v>57.566707999999998</v>
      </c>
      <c r="H19">
        <v>161.57739900000001</v>
      </c>
      <c r="I19">
        <v>0</v>
      </c>
      <c r="J19">
        <v>0</v>
      </c>
      <c r="K19">
        <v>0</v>
      </c>
      <c r="L19">
        <v>6.6897000000000002</v>
      </c>
      <c r="M19">
        <v>78.578412</v>
      </c>
      <c r="N19">
        <v>111.748662</v>
      </c>
    </row>
    <row r="20" spans="1:14" x14ac:dyDescent="0.3">
      <c r="A20" t="s">
        <v>18</v>
      </c>
      <c r="B20" t="s">
        <v>34</v>
      </c>
      <c r="C20">
        <v>103.988407</v>
      </c>
      <c r="D20">
        <v>60.003045999999998</v>
      </c>
      <c r="E20">
        <v>305.232575</v>
      </c>
      <c r="F20">
        <v>100.829339</v>
      </c>
      <c r="G20">
        <v>60.632876000000003</v>
      </c>
      <c r="H20">
        <v>307.817879</v>
      </c>
      <c r="I20">
        <v>0.10688300000000001</v>
      </c>
      <c r="J20">
        <v>6.0827140000000002</v>
      </c>
      <c r="K20">
        <v>16.026624000000002</v>
      </c>
      <c r="L20">
        <v>3.0521859999999998</v>
      </c>
      <c r="M20">
        <v>41.084741999999999</v>
      </c>
      <c r="N20">
        <v>229.95429799999999</v>
      </c>
    </row>
    <row r="21" spans="1:14" x14ac:dyDescent="0.3">
      <c r="A21" t="s">
        <v>18</v>
      </c>
      <c r="B21" t="s">
        <v>33</v>
      </c>
      <c r="C21">
        <v>77.844376999999994</v>
      </c>
      <c r="D21">
        <v>99.949810999999997</v>
      </c>
      <c r="E21">
        <v>345.42305199999998</v>
      </c>
      <c r="F21">
        <v>24.488047999999999</v>
      </c>
      <c r="G21">
        <v>99.840455000000006</v>
      </c>
      <c r="H21">
        <v>340.98905200000002</v>
      </c>
      <c r="I21">
        <v>0</v>
      </c>
      <c r="J21">
        <v>0</v>
      </c>
      <c r="K21">
        <v>0</v>
      </c>
      <c r="L21">
        <v>53.356329000000002</v>
      </c>
      <c r="M21">
        <v>100</v>
      </c>
      <c r="N21">
        <v>347.45805000000001</v>
      </c>
    </row>
    <row r="22" spans="1:14" x14ac:dyDescent="0.3">
      <c r="A22" t="s">
        <v>18</v>
      </c>
      <c r="B22" t="s">
        <v>32</v>
      </c>
      <c r="C22">
        <v>30.007339999999999</v>
      </c>
      <c r="D22">
        <v>71.489075999999997</v>
      </c>
      <c r="E22">
        <v>361.47796</v>
      </c>
      <c r="F22">
        <v>17.34768</v>
      </c>
      <c r="G22">
        <v>50.682915999999999</v>
      </c>
      <c r="H22">
        <v>192.972185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>
        <v>592.38339299999996</v>
      </c>
    </row>
    <row r="23" spans="1:14" x14ac:dyDescent="0.3">
      <c r="A23" t="s">
        <v>18</v>
      </c>
      <c r="B23" t="s">
        <v>31</v>
      </c>
      <c r="C23">
        <v>16.776014</v>
      </c>
      <c r="D23">
        <v>43.819567999999997</v>
      </c>
      <c r="E23">
        <v>125.60471</v>
      </c>
      <c r="F23">
        <v>6.7206710000000003</v>
      </c>
      <c r="G23">
        <v>39.279428000000003</v>
      </c>
      <c r="H23">
        <v>155.770712</v>
      </c>
      <c r="I23">
        <v>0.405416</v>
      </c>
      <c r="J23">
        <v>43.937964999999998</v>
      </c>
      <c r="K23">
        <v>66.711392000000004</v>
      </c>
      <c r="L23">
        <v>9.6499269999999999</v>
      </c>
      <c r="M23">
        <v>46.976564000000003</v>
      </c>
      <c r="N23">
        <v>107.06990500000001</v>
      </c>
    </row>
    <row r="24" spans="1:14" x14ac:dyDescent="0.3">
      <c r="A24" t="s">
        <v>18</v>
      </c>
      <c r="B24" t="s">
        <v>30</v>
      </c>
      <c r="C24">
        <v>105.81456</v>
      </c>
      <c r="D24">
        <v>47.905507</v>
      </c>
      <c r="E24">
        <v>182.76141699999999</v>
      </c>
      <c r="F24">
        <v>71.252656000000002</v>
      </c>
      <c r="G24">
        <v>49.396298999999999</v>
      </c>
      <c r="H24">
        <v>199.04861700000001</v>
      </c>
      <c r="I24">
        <v>0.40653800000000001</v>
      </c>
      <c r="J24">
        <v>69.874786</v>
      </c>
      <c r="K24">
        <v>476.20350400000001</v>
      </c>
      <c r="L24">
        <v>34.155366000000001</v>
      </c>
      <c r="M24">
        <v>44.534022999999998</v>
      </c>
      <c r="N24">
        <v>145.291417</v>
      </c>
    </row>
    <row r="25" spans="1:14" x14ac:dyDescent="0.3">
      <c r="A25" t="s">
        <v>18</v>
      </c>
      <c r="B25" t="s">
        <v>29</v>
      </c>
      <c r="C25">
        <v>44.159300000000002</v>
      </c>
      <c r="D25">
        <v>61.773715000000003</v>
      </c>
      <c r="E25">
        <v>105.622584</v>
      </c>
      <c r="F25">
        <v>27.068470000000001</v>
      </c>
      <c r="G25">
        <v>37.637923000000001</v>
      </c>
      <c r="H25">
        <v>29.384602999999998</v>
      </c>
      <c r="I25">
        <v>0</v>
      </c>
      <c r="J25">
        <v>0</v>
      </c>
      <c r="K25">
        <v>0</v>
      </c>
      <c r="L25">
        <v>17.09083</v>
      </c>
      <c r="M25">
        <v>100</v>
      </c>
      <c r="N25">
        <v>226.368359</v>
      </c>
    </row>
    <row r="26" spans="1:14" x14ac:dyDescent="0.3">
      <c r="A26" t="s">
        <v>18</v>
      </c>
      <c r="B26" t="s">
        <v>28</v>
      </c>
      <c r="C26">
        <v>26.352419999999999</v>
      </c>
      <c r="D26">
        <v>92.40343</v>
      </c>
      <c r="E26">
        <v>236.36658700000001</v>
      </c>
      <c r="F26">
        <v>18.734549999999999</v>
      </c>
      <c r="G26">
        <v>89.314502000000005</v>
      </c>
      <c r="H26">
        <v>187.07067499999999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>
        <v>357.59952199999998</v>
      </c>
    </row>
    <row r="27" spans="1:14" x14ac:dyDescent="0.3">
      <c r="A27" t="s">
        <v>18</v>
      </c>
      <c r="B27" t="s">
        <v>27</v>
      </c>
      <c r="C27">
        <v>1.37738</v>
      </c>
      <c r="D27">
        <v>99.208641999999998</v>
      </c>
      <c r="E27">
        <v>557.35530600000004</v>
      </c>
      <c r="F27">
        <v>0.92057</v>
      </c>
      <c r="G27">
        <v>98.815950999999998</v>
      </c>
      <c r="H27">
        <v>504.802167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>
        <v>663.26113999999995</v>
      </c>
    </row>
    <row r="28" spans="1:14" x14ac:dyDescent="0.3">
      <c r="A28" t="s">
        <v>18</v>
      </c>
      <c r="B28" t="s">
        <v>26</v>
      </c>
      <c r="C28">
        <v>3.4549999999999997E-2</v>
      </c>
      <c r="D28">
        <v>100</v>
      </c>
      <c r="E28">
        <v>537.90998500000001</v>
      </c>
      <c r="F28">
        <v>2E-3</v>
      </c>
      <c r="G28">
        <v>100</v>
      </c>
      <c r="H28">
        <v>387.55849000000001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>
        <v>547.14817200000005</v>
      </c>
    </row>
    <row r="29" spans="1:14" x14ac:dyDescent="0.3">
      <c r="A29" t="s">
        <v>18</v>
      </c>
      <c r="B29" t="s">
        <v>25</v>
      </c>
      <c r="C29">
        <v>2.9764879999999998</v>
      </c>
      <c r="D29">
        <v>75.710676000000007</v>
      </c>
      <c r="E29">
        <v>576.43931899999995</v>
      </c>
      <c r="F29">
        <v>2.016947</v>
      </c>
      <c r="G29">
        <v>89.913443000000001</v>
      </c>
      <c r="H29">
        <v>725.64916900000003</v>
      </c>
      <c r="I29">
        <v>0.40108300000000002</v>
      </c>
      <c r="J29">
        <v>20.449377999999999</v>
      </c>
      <c r="K29">
        <v>135.81769399999999</v>
      </c>
      <c r="L29">
        <v>0.55845699999999998</v>
      </c>
      <c r="M29">
        <v>64.103938999999997</v>
      </c>
      <c r="N29">
        <v>354.00053600000001</v>
      </c>
    </row>
    <row r="30" spans="1:14" x14ac:dyDescent="0.3">
      <c r="A30" t="s">
        <v>18</v>
      </c>
      <c r="B30" t="s">
        <v>24</v>
      </c>
      <c r="C30">
        <v>95.928974999999994</v>
      </c>
      <c r="D30">
        <v>51.560129000000003</v>
      </c>
      <c r="E30">
        <v>144.03793300000001</v>
      </c>
      <c r="F30">
        <v>94.397018000000003</v>
      </c>
      <c r="G30">
        <v>51.408693999999997</v>
      </c>
      <c r="H30">
        <v>142.793961</v>
      </c>
      <c r="I30">
        <v>0</v>
      </c>
      <c r="J30">
        <v>0</v>
      </c>
      <c r="K30">
        <v>0</v>
      </c>
      <c r="L30">
        <v>1.531957</v>
      </c>
      <c r="M30">
        <v>60.891339000000002</v>
      </c>
      <c r="N30">
        <v>220.689763</v>
      </c>
    </row>
    <row r="31" spans="1:14" x14ac:dyDescent="0.3">
      <c r="A31" t="s">
        <v>18</v>
      </c>
      <c r="B31" t="s">
        <v>23</v>
      </c>
      <c r="C31">
        <v>42.007702999999999</v>
      </c>
      <c r="D31">
        <v>70.877046000000007</v>
      </c>
      <c r="E31">
        <v>144.75559000000001</v>
      </c>
      <c r="F31">
        <v>22.885097999999999</v>
      </c>
      <c r="G31">
        <v>46.542135999999999</v>
      </c>
      <c r="H31">
        <v>91.179114999999996</v>
      </c>
      <c r="I31">
        <v>0</v>
      </c>
      <c r="J31">
        <v>0</v>
      </c>
      <c r="K31">
        <v>0</v>
      </c>
      <c r="L31">
        <v>19.122606000000001</v>
      </c>
      <c r="M31">
        <v>100</v>
      </c>
      <c r="N31">
        <v>208.873571</v>
      </c>
    </row>
    <row r="32" spans="1:14" x14ac:dyDescent="0.3">
      <c r="A32" t="s">
        <v>18</v>
      </c>
      <c r="B32" t="s">
        <v>22</v>
      </c>
      <c r="C32">
        <v>109.33327800000001</v>
      </c>
      <c r="D32">
        <v>87.974412000000001</v>
      </c>
      <c r="E32">
        <v>264.819951</v>
      </c>
      <c r="F32">
        <v>71.566817999999998</v>
      </c>
      <c r="G32">
        <v>81.628399000000002</v>
      </c>
      <c r="H32">
        <v>172.918553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>
        <v>438.97158200000001</v>
      </c>
    </row>
    <row r="33" spans="1:14" x14ac:dyDescent="0.3">
      <c r="A33" t="s">
        <v>18</v>
      </c>
      <c r="B33" t="s">
        <v>21</v>
      </c>
      <c r="C33">
        <v>26.799309999999998</v>
      </c>
      <c r="D33">
        <v>83.663832999999997</v>
      </c>
      <c r="E33">
        <v>210.703104</v>
      </c>
      <c r="F33">
        <v>20.655619999999999</v>
      </c>
      <c r="G33">
        <v>78.806832999999997</v>
      </c>
      <c r="H33">
        <v>166.16769199999999</v>
      </c>
      <c r="I33">
        <v>0</v>
      </c>
      <c r="J33">
        <v>0</v>
      </c>
      <c r="K33">
        <v>0</v>
      </c>
      <c r="L33">
        <v>6.1436900000000003</v>
      </c>
      <c r="M33">
        <v>99.993488999999997</v>
      </c>
      <c r="N33">
        <v>360.43502799999999</v>
      </c>
    </row>
    <row r="34" spans="1:14" x14ac:dyDescent="0.3">
      <c r="A34" t="s">
        <v>18</v>
      </c>
      <c r="B34" t="s">
        <v>20</v>
      </c>
      <c r="C34">
        <v>14.066174</v>
      </c>
      <c r="D34">
        <v>58.810975999999997</v>
      </c>
      <c r="E34">
        <v>213.447429</v>
      </c>
      <c r="F34">
        <v>10.980017</v>
      </c>
      <c r="G34">
        <v>47.243980999999998</v>
      </c>
      <c r="H34">
        <v>129.97280699999999</v>
      </c>
      <c r="I34">
        <v>0</v>
      </c>
      <c r="J34">
        <v>0</v>
      </c>
      <c r="K34">
        <v>0</v>
      </c>
      <c r="L34">
        <v>3.086157</v>
      </c>
      <c r="M34">
        <v>99.964357000000007</v>
      </c>
      <c r="N34">
        <v>510.43579499999998</v>
      </c>
    </row>
    <row r="35" spans="1:14" x14ac:dyDescent="0.3">
      <c r="A35" t="s">
        <v>18</v>
      </c>
      <c r="B35" t="s">
        <v>19</v>
      </c>
      <c r="C35">
        <v>251.921649</v>
      </c>
      <c r="D35">
        <v>89.635165999999998</v>
      </c>
      <c r="E35">
        <v>311.60970400000002</v>
      </c>
      <c r="F35">
        <v>91.482399999999998</v>
      </c>
      <c r="G35">
        <v>71.457614000000007</v>
      </c>
      <c r="H35">
        <v>238.87063699999999</v>
      </c>
      <c r="I35">
        <v>0</v>
      </c>
      <c r="J35">
        <v>0</v>
      </c>
      <c r="K35">
        <v>0</v>
      </c>
      <c r="L35">
        <v>160.43924999999999</v>
      </c>
      <c r="M35">
        <v>100</v>
      </c>
      <c r="N35">
        <v>353.08549299999999</v>
      </c>
    </row>
    <row r="36" spans="1:14" x14ac:dyDescent="0.3">
      <c r="A36" t="s">
        <v>18</v>
      </c>
      <c r="B36" t="s">
        <v>17</v>
      </c>
      <c r="C36">
        <v>58.643210000000003</v>
      </c>
      <c r="D36">
        <v>11.663736999999999</v>
      </c>
      <c r="E36">
        <v>12.168058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58.643210000000003</v>
      </c>
      <c r="M36">
        <v>11.663736999999999</v>
      </c>
      <c r="N36">
        <v>12.168058</v>
      </c>
    </row>
    <row r="37" spans="1:14" x14ac:dyDescent="0.3">
      <c r="A37" t="s">
        <v>16</v>
      </c>
      <c r="C37">
        <v>1445.568767</v>
      </c>
      <c r="D37">
        <v>65.113433999999998</v>
      </c>
      <c r="E37">
        <v>212.865207</v>
      </c>
      <c r="F37">
        <v>927.81458199999997</v>
      </c>
      <c r="G37">
        <v>57.982024000000003</v>
      </c>
      <c r="H37">
        <v>180.184955</v>
      </c>
      <c r="I37">
        <v>8.2177690000000005</v>
      </c>
      <c r="J37">
        <v>10.594714</v>
      </c>
      <c r="K37">
        <v>35.164262000000001</v>
      </c>
      <c r="L37">
        <v>509.53641499999998</v>
      </c>
      <c r="M37">
        <v>78.978288000000006</v>
      </c>
      <c r="N37">
        <v>275.238608</v>
      </c>
    </row>
    <row r="38" spans="1:14" x14ac:dyDescent="0.3">
      <c r="A38" t="s">
        <v>3</v>
      </c>
      <c r="B38" t="s">
        <v>15</v>
      </c>
      <c r="C38">
        <v>19.970838000000001</v>
      </c>
      <c r="D38">
        <v>94.020853000000002</v>
      </c>
      <c r="E38">
        <v>380.17247200000003</v>
      </c>
      <c r="F38">
        <v>7.4283419999999998</v>
      </c>
      <c r="G38">
        <v>83.925273000000004</v>
      </c>
      <c r="H38">
        <v>196.69184799999999</v>
      </c>
      <c r="I38">
        <v>0</v>
      </c>
      <c r="J38">
        <v>0</v>
      </c>
      <c r="K38">
        <v>0</v>
      </c>
      <c r="L38">
        <v>12.542496</v>
      </c>
      <c r="M38">
        <v>100</v>
      </c>
      <c r="N38">
        <v>488.83958799999999</v>
      </c>
    </row>
    <row r="39" spans="1:14" x14ac:dyDescent="0.3">
      <c r="A39" t="s">
        <v>3</v>
      </c>
      <c r="B39" t="s">
        <v>14</v>
      </c>
      <c r="C39">
        <v>66.500259999999997</v>
      </c>
      <c r="D39">
        <v>99.849519000000001</v>
      </c>
      <c r="E39">
        <v>426.96622500000001</v>
      </c>
      <c r="F39">
        <v>59.627850000000002</v>
      </c>
      <c r="G39">
        <v>99.832176000000004</v>
      </c>
      <c r="H39">
        <v>415.85200400000002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>
        <v>523.39776400000005</v>
      </c>
    </row>
    <row r="40" spans="1:14" x14ac:dyDescent="0.3">
      <c r="A40" t="s">
        <v>3</v>
      </c>
      <c r="B40" t="s">
        <v>13</v>
      </c>
      <c r="C40">
        <v>37.044150999999999</v>
      </c>
      <c r="D40">
        <v>69.538488000000001</v>
      </c>
      <c r="E40">
        <v>200.441652</v>
      </c>
      <c r="F40">
        <v>22.629581999999999</v>
      </c>
      <c r="G40">
        <v>50.135143999999997</v>
      </c>
      <c r="H40">
        <v>133.79142999999999</v>
      </c>
      <c r="I40">
        <v>0</v>
      </c>
      <c r="J40">
        <v>0</v>
      </c>
      <c r="K40">
        <v>0</v>
      </c>
      <c r="L40">
        <v>14.414569</v>
      </c>
      <c r="M40">
        <v>100</v>
      </c>
      <c r="N40">
        <v>305.07653099999999</v>
      </c>
    </row>
    <row r="41" spans="1:14" x14ac:dyDescent="0.3">
      <c r="A41" t="s">
        <v>3</v>
      </c>
      <c r="B41" t="s">
        <v>12</v>
      </c>
      <c r="C41">
        <v>4.703036</v>
      </c>
      <c r="D41">
        <v>77.450348000000005</v>
      </c>
      <c r="E41">
        <v>184.075469</v>
      </c>
      <c r="F41">
        <v>3.9760390000000001</v>
      </c>
      <c r="G41">
        <v>73.327269999999999</v>
      </c>
      <c r="H41">
        <v>145.484283</v>
      </c>
      <c r="I41">
        <v>0</v>
      </c>
      <c r="J41">
        <v>0</v>
      </c>
      <c r="K41">
        <v>0</v>
      </c>
      <c r="L41">
        <v>0.726997</v>
      </c>
      <c r="M41">
        <v>100</v>
      </c>
      <c r="N41">
        <v>395.13572699999997</v>
      </c>
    </row>
    <row r="42" spans="1:14" x14ac:dyDescent="0.3">
      <c r="A42" t="s">
        <v>3</v>
      </c>
      <c r="B42" t="s">
        <v>11</v>
      </c>
      <c r="C42">
        <v>16.892092000000002</v>
      </c>
      <c r="D42">
        <v>71.375026000000005</v>
      </c>
      <c r="E42">
        <v>163.303898</v>
      </c>
      <c r="F42">
        <v>8.3265480000000007</v>
      </c>
      <c r="G42">
        <v>41.928431000000003</v>
      </c>
      <c r="H42">
        <v>38.508972999999997</v>
      </c>
      <c r="I42">
        <v>0</v>
      </c>
      <c r="J42">
        <v>0</v>
      </c>
      <c r="K42">
        <v>0</v>
      </c>
      <c r="L42">
        <v>8.5655439999999992</v>
      </c>
      <c r="M42">
        <v>100</v>
      </c>
      <c r="N42">
        <v>284.61678899999998</v>
      </c>
    </row>
    <row r="43" spans="1:14" x14ac:dyDescent="0.3">
      <c r="A43" t="s">
        <v>3</v>
      </c>
      <c r="B43" t="s">
        <v>10</v>
      </c>
      <c r="C43">
        <v>3.7738299999999998</v>
      </c>
      <c r="D43">
        <v>99.824580999999995</v>
      </c>
      <c r="E43">
        <v>373.494125</v>
      </c>
      <c r="F43">
        <v>1.8271599999999999</v>
      </c>
      <c r="G43">
        <v>99.637688999999995</v>
      </c>
      <c r="H43">
        <v>241.21578700000001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>
        <v>497.65162900000001</v>
      </c>
    </row>
    <row r="44" spans="1:14" x14ac:dyDescent="0.3">
      <c r="A44" t="s">
        <v>3</v>
      </c>
      <c r="B44" t="s">
        <v>9</v>
      </c>
      <c r="C44">
        <v>9.0587280000000003</v>
      </c>
      <c r="D44">
        <v>55.068759</v>
      </c>
      <c r="E44">
        <v>121.192286</v>
      </c>
      <c r="F44">
        <v>6.0905389999999997</v>
      </c>
      <c r="G44">
        <v>33.171774999999997</v>
      </c>
      <c r="H44">
        <v>34.701101999999999</v>
      </c>
      <c r="I44">
        <v>0</v>
      </c>
      <c r="J44">
        <v>0</v>
      </c>
      <c r="K44">
        <v>0</v>
      </c>
      <c r="L44">
        <v>2.9681899999999999</v>
      </c>
      <c r="M44">
        <v>100</v>
      </c>
      <c r="N44">
        <v>298.66677499999997</v>
      </c>
    </row>
    <row r="45" spans="1:14" x14ac:dyDescent="0.3">
      <c r="A45" t="s">
        <v>3</v>
      </c>
      <c r="B45" t="s">
        <v>8</v>
      </c>
      <c r="C45">
        <v>303.44588199999998</v>
      </c>
      <c r="D45">
        <v>5.3804829999999999</v>
      </c>
      <c r="E45">
        <v>5.2410759999999996</v>
      </c>
      <c r="F45">
        <v>124.62925</v>
      </c>
      <c r="G45">
        <v>9.6757360000000006</v>
      </c>
      <c r="H45">
        <v>9.3608189999999993</v>
      </c>
      <c r="I45">
        <v>23.593050000000002</v>
      </c>
      <c r="J45">
        <v>11.6128</v>
      </c>
      <c r="K45">
        <v>11.905810000000001</v>
      </c>
      <c r="L45">
        <v>155.22358199999999</v>
      </c>
      <c r="M45">
        <v>0.98454399999999997</v>
      </c>
      <c r="N45">
        <v>0.92032800000000003</v>
      </c>
    </row>
    <row r="46" spans="1:14" x14ac:dyDescent="0.3">
      <c r="A46" t="s">
        <v>3</v>
      </c>
      <c r="B46" t="s">
        <v>7</v>
      </c>
      <c r="C46">
        <v>643.11932999999999</v>
      </c>
      <c r="D46">
        <v>42.104908000000002</v>
      </c>
      <c r="E46">
        <v>59.128633000000001</v>
      </c>
      <c r="F46">
        <v>518.69763999999998</v>
      </c>
      <c r="G46">
        <v>40.427698999999997</v>
      </c>
      <c r="H46">
        <v>57.636769999999999</v>
      </c>
      <c r="I46">
        <v>0</v>
      </c>
      <c r="J46">
        <v>0</v>
      </c>
      <c r="K46">
        <v>0</v>
      </c>
      <c r="L46">
        <v>124.42169</v>
      </c>
      <c r="M46">
        <v>49.096969999999999</v>
      </c>
      <c r="N46">
        <v>65.348012999999995</v>
      </c>
    </row>
    <row r="47" spans="1:14" x14ac:dyDescent="0.3">
      <c r="A47" t="s">
        <v>3</v>
      </c>
      <c r="B47" t="s">
        <v>6</v>
      </c>
      <c r="C47">
        <v>33.064343999999998</v>
      </c>
      <c r="D47">
        <v>89.891621999999998</v>
      </c>
      <c r="E47">
        <v>430.72280799999999</v>
      </c>
      <c r="F47">
        <v>19.799917000000001</v>
      </c>
      <c r="G47">
        <v>83.119782999999998</v>
      </c>
      <c r="H47">
        <v>259.10031400000003</v>
      </c>
      <c r="I47">
        <v>0</v>
      </c>
      <c r="J47">
        <v>0</v>
      </c>
      <c r="K47">
        <v>0</v>
      </c>
      <c r="L47">
        <v>13.264427</v>
      </c>
      <c r="M47">
        <v>100</v>
      </c>
      <c r="N47">
        <v>686.90509899999995</v>
      </c>
    </row>
    <row r="48" spans="1:14" x14ac:dyDescent="0.3">
      <c r="A48" t="s">
        <v>3</v>
      </c>
      <c r="B48" t="s">
        <v>5</v>
      </c>
      <c r="C48">
        <v>24.247599999999998</v>
      </c>
      <c r="D48">
        <v>41.684950000000001</v>
      </c>
      <c r="E48">
        <v>179.86261999999999</v>
      </c>
      <c r="F48">
        <v>10.4964</v>
      </c>
      <c r="G48">
        <v>58.863990999999999</v>
      </c>
      <c r="H48">
        <v>294.79126100000002</v>
      </c>
      <c r="I48">
        <v>0.1326</v>
      </c>
      <c r="J48">
        <v>43.288083999999998</v>
      </c>
      <c r="K48">
        <v>72.457283000000004</v>
      </c>
      <c r="L48">
        <v>13.618600000000001</v>
      </c>
      <c r="M48">
        <v>28.428767000000001</v>
      </c>
      <c r="N48">
        <v>92.328288999999998</v>
      </c>
    </row>
    <row r="49" spans="1:14" x14ac:dyDescent="0.3">
      <c r="A49" t="s">
        <v>3</v>
      </c>
      <c r="B49" t="s">
        <v>4</v>
      </c>
      <c r="C49">
        <v>97.773409999999998</v>
      </c>
      <c r="D49">
        <v>99.943614999999994</v>
      </c>
      <c r="E49">
        <v>449.54144100000002</v>
      </c>
      <c r="F49">
        <v>74.459490000000002</v>
      </c>
      <c r="G49">
        <v>99.925960000000003</v>
      </c>
      <c r="H49">
        <v>434.87662</v>
      </c>
      <c r="I49">
        <v>0</v>
      </c>
      <c r="J49">
        <v>0</v>
      </c>
      <c r="K49">
        <v>0</v>
      </c>
      <c r="L49">
        <v>23.31392</v>
      </c>
      <c r="M49">
        <v>100</v>
      </c>
      <c r="N49">
        <v>496.37762500000002</v>
      </c>
    </row>
    <row r="50" spans="1:14" x14ac:dyDescent="0.3">
      <c r="A50" t="s">
        <v>3</v>
      </c>
      <c r="B50" t="s">
        <v>2</v>
      </c>
      <c r="C50">
        <v>71.069734999999994</v>
      </c>
      <c r="D50">
        <v>11.652886000000001</v>
      </c>
      <c r="E50">
        <v>21.422022999999999</v>
      </c>
      <c r="F50">
        <v>19.14141</v>
      </c>
      <c r="G50">
        <v>33.245722000000001</v>
      </c>
      <c r="H50">
        <v>64.211993000000007</v>
      </c>
      <c r="I50">
        <v>0.71511499999999995</v>
      </c>
      <c r="J50">
        <v>2.7303299999999999</v>
      </c>
      <c r="K50">
        <v>0.82402600000000004</v>
      </c>
      <c r="L50">
        <v>51.213209999999997</v>
      </c>
      <c r="M50">
        <v>3.7069540000000001</v>
      </c>
      <c r="N50">
        <v>5.7164970000000004</v>
      </c>
    </row>
    <row r="51" spans="1:14" x14ac:dyDescent="0.3">
      <c r="A51" t="s">
        <v>1</v>
      </c>
      <c r="C51">
        <v>1330.663237</v>
      </c>
      <c r="D51">
        <v>42.710518</v>
      </c>
      <c r="E51">
        <v>115.15921899999999</v>
      </c>
      <c r="F51">
        <v>877.13016800000003</v>
      </c>
      <c r="G51">
        <v>47.030149000000002</v>
      </c>
      <c r="H51">
        <v>118.26430000000001</v>
      </c>
      <c r="I51">
        <v>24.440764999999999</v>
      </c>
      <c r="J51">
        <v>11.524756999999999</v>
      </c>
      <c r="K51">
        <v>11.910081</v>
      </c>
      <c r="L51">
        <v>429.09230400000001</v>
      </c>
      <c r="M51">
        <v>35.656849000000001</v>
      </c>
      <c r="N51">
        <v>114.692949</v>
      </c>
    </row>
    <row r="52" spans="1:14" x14ac:dyDescent="0.3">
      <c r="A52" t="s">
        <v>0</v>
      </c>
      <c r="C52">
        <v>2776.2320030000001</v>
      </c>
      <c r="D52">
        <v>54.375593000000002</v>
      </c>
      <c r="E52">
        <v>166.03419</v>
      </c>
      <c r="F52">
        <v>1804.9447500000001</v>
      </c>
      <c r="G52">
        <v>52.659855999999998</v>
      </c>
      <c r="H52">
        <v>150.09402</v>
      </c>
      <c r="I52">
        <v>32.658534000000003</v>
      </c>
      <c r="J52">
        <v>11.290732999999999</v>
      </c>
      <c r="K52">
        <v>17.761461000000001</v>
      </c>
      <c r="L52">
        <v>938.62871900000005</v>
      </c>
      <c r="M52">
        <v>59.173976000000003</v>
      </c>
      <c r="N52">
        <v>201.845471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6F5-856F-44EF-878D-C8D986565A80}">
  <dimension ref="A2:N52"/>
  <sheetViews>
    <sheetView tabSelected="1" workbookViewId="0">
      <selection activeCell="E52" sqref="E52"/>
    </sheetView>
  </sheetViews>
  <sheetFormatPr defaultRowHeight="14.4" x14ac:dyDescent="0.3"/>
  <cols>
    <col min="3" max="14" width="15.6640625" customWidth="1"/>
  </cols>
  <sheetData>
    <row r="2" spans="1:14" x14ac:dyDescent="0.3">
      <c r="A2" t="s">
        <v>62</v>
      </c>
    </row>
    <row r="3" spans="1:14" x14ac:dyDescent="0.3">
      <c r="A3" t="s">
        <v>61</v>
      </c>
    </row>
    <row r="4" spans="1:14" x14ac:dyDescent="0.3">
      <c r="A4" t="s">
        <v>60</v>
      </c>
      <c r="I4" t="s">
        <v>81</v>
      </c>
    </row>
    <row r="5" spans="1:14" x14ac:dyDescent="0.3">
      <c r="A5" t="s">
        <v>59</v>
      </c>
      <c r="G5" t="s">
        <v>80</v>
      </c>
      <c r="H5">
        <f>G10/100*F10-'bio_critical_load (2)'!G10/100*'bio_critical_load (2)'!F10</f>
        <v>-3.9406798853415008</v>
      </c>
      <c r="I5">
        <v>1000</v>
      </c>
      <c r="J5">
        <f>I5*H5</f>
        <v>-3940.6798853415007</v>
      </c>
    </row>
    <row r="6" spans="1:14" x14ac:dyDescent="0.3">
      <c r="A6" t="s">
        <v>58</v>
      </c>
    </row>
    <row r="7" spans="1:14" x14ac:dyDescent="0.3">
      <c r="A7" t="s">
        <v>57</v>
      </c>
    </row>
    <row r="9" spans="1:14" x14ac:dyDescent="0.3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3">
      <c r="A10" t="s">
        <v>18</v>
      </c>
      <c r="B10" t="s">
        <v>44</v>
      </c>
      <c r="C10">
        <v>50.48854</v>
      </c>
      <c r="D10">
        <v>24.933579000000002</v>
      </c>
      <c r="E10">
        <v>50.698559000000003</v>
      </c>
      <c r="F10">
        <v>39.292830000000002</v>
      </c>
      <c r="G10">
        <v>25.735688</v>
      </c>
      <c r="H10">
        <v>58.006642999999997</v>
      </c>
      <c r="I10">
        <v>5.1999999999999995E-4</v>
      </c>
      <c r="J10">
        <v>0</v>
      </c>
      <c r="K10">
        <v>0</v>
      </c>
      <c r="L10">
        <v>11.19519</v>
      </c>
      <c r="M10">
        <v>22.116284</v>
      </c>
      <c r="N10">
        <v>25.033232999999999</v>
      </c>
    </row>
    <row r="11" spans="1:14" x14ac:dyDescent="0.3">
      <c r="A11" t="s">
        <v>18</v>
      </c>
      <c r="B11" t="s">
        <v>43</v>
      </c>
      <c r="C11">
        <v>15.55151</v>
      </c>
      <c r="D11">
        <v>44.284446000000003</v>
      </c>
      <c r="E11">
        <v>365.46596799999998</v>
      </c>
      <c r="F11">
        <v>12.818580000000001</v>
      </c>
      <c r="G11">
        <v>48.613185000000001</v>
      </c>
      <c r="H11">
        <v>421.15101700000002</v>
      </c>
      <c r="I11">
        <v>0.13514999999999999</v>
      </c>
      <c r="J11">
        <v>9.5745470000000008</v>
      </c>
      <c r="K11">
        <v>23.018253999999999</v>
      </c>
      <c r="L11">
        <v>2.5977800000000002</v>
      </c>
      <c r="M11">
        <v>24.730346999999998</v>
      </c>
      <c r="N11">
        <v>108.507547</v>
      </c>
    </row>
    <row r="12" spans="1:14" x14ac:dyDescent="0.3">
      <c r="A12" t="s">
        <v>18</v>
      </c>
      <c r="B12" t="s">
        <v>42</v>
      </c>
      <c r="C12">
        <v>54.322257</v>
      </c>
      <c r="D12">
        <v>59.539620999999997</v>
      </c>
      <c r="E12">
        <v>125.242223</v>
      </c>
      <c r="F12">
        <v>37.227128</v>
      </c>
      <c r="G12">
        <v>40.959746000000003</v>
      </c>
      <c r="H12">
        <v>37.701881</v>
      </c>
      <c r="I12">
        <v>0</v>
      </c>
      <c r="J12">
        <v>0</v>
      </c>
      <c r="K12">
        <v>0</v>
      </c>
      <c r="L12">
        <v>17.095129</v>
      </c>
      <c r="M12">
        <v>100</v>
      </c>
      <c r="N12">
        <v>315.87404400000003</v>
      </c>
    </row>
    <row r="13" spans="1:14" x14ac:dyDescent="0.3">
      <c r="A13" t="s">
        <v>18</v>
      </c>
      <c r="B13" t="s">
        <v>41</v>
      </c>
      <c r="C13">
        <v>36.410994000000002</v>
      </c>
      <c r="D13">
        <v>73.262877000000003</v>
      </c>
      <c r="E13">
        <v>238.27264299999999</v>
      </c>
      <c r="F13">
        <v>19.764983000000001</v>
      </c>
      <c r="G13">
        <v>50.744951</v>
      </c>
      <c r="H13">
        <v>106.806262</v>
      </c>
      <c r="I13">
        <v>0</v>
      </c>
      <c r="J13">
        <v>0</v>
      </c>
      <c r="K13">
        <v>0</v>
      </c>
      <c r="L13">
        <v>16.646011000000001</v>
      </c>
      <c r="M13">
        <v>100</v>
      </c>
      <c r="N13">
        <v>394.37195300000002</v>
      </c>
    </row>
    <row r="14" spans="1:14" x14ac:dyDescent="0.3">
      <c r="A14" t="s">
        <v>18</v>
      </c>
      <c r="B14" t="s">
        <v>40</v>
      </c>
      <c r="C14">
        <v>1.69143</v>
      </c>
      <c r="D14">
        <v>100</v>
      </c>
      <c r="E14">
        <v>352.16162500000002</v>
      </c>
      <c r="F14">
        <v>0.65830999999999995</v>
      </c>
      <c r="G14">
        <v>100</v>
      </c>
      <c r="H14">
        <v>382.914603</v>
      </c>
      <c r="I14">
        <v>0</v>
      </c>
      <c r="J14">
        <v>0</v>
      </c>
      <c r="K14">
        <v>0</v>
      </c>
      <c r="L14">
        <v>1.03312</v>
      </c>
      <c r="M14">
        <v>100</v>
      </c>
      <c r="N14">
        <v>332.565652</v>
      </c>
    </row>
    <row r="15" spans="1:14" x14ac:dyDescent="0.3">
      <c r="A15" t="s">
        <v>18</v>
      </c>
      <c r="B15" t="s">
        <v>39</v>
      </c>
      <c r="C15">
        <v>23.831250000000001</v>
      </c>
      <c r="D15">
        <v>45.546289000000002</v>
      </c>
      <c r="E15">
        <v>57.881191000000001</v>
      </c>
      <c r="F15">
        <v>23.71875</v>
      </c>
      <c r="G15">
        <v>45.592621999999999</v>
      </c>
      <c r="H15">
        <v>57.929721999999998</v>
      </c>
      <c r="I15">
        <v>0</v>
      </c>
      <c r="J15">
        <v>0</v>
      </c>
      <c r="K15">
        <v>0</v>
      </c>
      <c r="L15">
        <v>0.1125</v>
      </c>
      <c r="M15">
        <v>35.777777999999998</v>
      </c>
      <c r="N15">
        <v>47.649123000000003</v>
      </c>
    </row>
    <row r="16" spans="1:14" x14ac:dyDescent="0.3">
      <c r="A16" t="s">
        <v>18</v>
      </c>
      <c r="B16" t="s">
        <v>38</v>
      </c>
      <c r="C16">
        <v>6.6650200000000002</v>
      </c>
      <c r="D16">
        <v>99.053566000000004</v>
      </c>
      <c r="E16">
        <v>446.936691</v>
      </c>
      <c r="F16">
        <v>3.79548</v>
      </c>
      <c r="G16">
        <v>98.338023000000007</v>
      </c>
      <c r="H16">
        <v>376.20690300000001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>
        <v>540.48948800000005</v>
      </c>
    </row>
    <row r="17" spans="1:14" x14ac:dyDescent="0.3">
      <c r="A17" t="s">
        <v>18</v>
      </c>
      <c r="B17" t="s">
        <v>37</v>
      </c>
      <c r="C17">
        <v>30.592469999999999</v>
      </c>
      <c r="D17">
        <v>25.872150999999999</v>
      </c>
      <c r="E17">
        <v>19.594335000000001</v>
      </c>
      <c r="F17">
        <v>21.647210000000001</v>
      </c>
      <c r="G17">
        <v>0.23910699999999999</v>
      </c>
      <c r="H17">
        <v>6.0385000000000001E-2</v>
      </c>
      <c r="I17">
        <v>0</v>
      </c>
      <c r="J17">
        <v>0</v>
      </c>
      <c r="K17">
        <v>0</v>
      </c>
      <c r="L17">
        <v>8.9452599999999993</v>
      </c>
      <c r="M17">
        <v>87.903201999999993</v>
      </c>
      <c r="N17">
        <v>66.865797000000001</v>
      </c>
    </row>
    <row r="18" spans="1:14" x14ac:dyDescent="0.3">
      <c r="A18" t="s">
        <v>18</v>
      </c>
      <c r="B18" t="s">
        <v>36</v>
      </c>
      <c r="C18">
        <v>41.047379999999997</v>
      </c>
      <c r="D18">
        <v>0.51596500000000001</v>
      </c>
      <c r="E18">
        <v>9.8900000000000002E-2</v>
      </c>
      <c r="F18">
        <v>17.296330000000001</v>
      </c>
      <c r="G18">
        <v>0.16095899999999999</v>
      </c>
      <c r="H18">
        <v>4.3208999999999997E-2</v>
      </c>
      <c r="I18">
        <v>6.7621799999999999</v>
      </c>
      <c r="J18">
        <v>2.7202769999999998</v>
      </c>
      <c r="K18">
        <v>0.48981999999999998</v>
      </c>
      <c r="L18">
        <v>16.988869999999999</v>
      </c>
      <c r="M18">
        <v>0</v>
      </c>
      <c r="N18">
        <v>0</v>
      </c>
    </row>
    <row r="19" spans="1:14" x14ac:dyDescent="0.3">
      <c r="A19" t="s">
        <v>18</v>
      </c>
      <c r="B19" t="s">
        <v>35</v>
      </c>
      <c r="C19">
        <v>176.93678</v>
      </c>
      <c r="D19">
        <v>53.402470000000001</v>
      </c>
      <c r="E19">
        <v>130.40392900000001</v>
      </c>
      <c r="F19">
        <v>170.24708000000001</v>
      </c>
      <c r="G19">
        <v>52.41966</v>
      </c>
      <c r="H19">
        <v>132.02341100000001</v>
      </c>
      <c r="I19">
        <v>0</v>
      </c>
      <c r="J19">
        <v>0</v>
      </c>
      <c r="K19">
        <v>0</v>
      </c>
      <c r="L19">
        <v>6.6897000000000002</v>
      </c>
      <c r="M19">
        <v>78.414129000000003</v>
      </c>
      <c r="N19">
        <v>89.189504999999997</v>
      </c>
    </row>
    <row r="20" spans="1:14" x14ac:dyDescent="0.3">
      <c r="A20" t="s">
        <v>18</v>
      </c>
      <c r="B20" t="s">
        <v>34</v>
      </c>
      <c r="C20">
        <v>103.988407</v>
      </c>
      <c r="D20">
        <v>56.084387999999997</v>
      </c>
      <c r="E20">
        <v>259.09236600000003</v>
      </c>
      <c r="F20">
        <v>100.829339</v>
      </c>
      <c r="G20">
        <v>56.769731999999998</v>
      </c>
      <c r="H20">
        <v>261.14153299999998</v>
      </c>
      <c r="I20">
        <v>0.10688300000000001</v>
      </c>
      <c r="J20">
        <v>6.0827140000000002</v>
      </c>
      <c r="K20">
        <v>10.230083</v>
      </c>
      <c r="L20">
        <v>3.0521859999999998</v>
      </c>
      <c r="M20">
        <v>35.194932000000001</v>
      </c>
      <c r="N20">
        <v>200.11268000000001</v>
      </c>
    </row>
    <row r="21" spans="1:14" x14ac:dyDescent="0.3">
      <c r="A21" t="s">
        <v>18</v>
      </c>
      <c r="B21" t="s">
        <v>33</v>
      </c>
      <c r="C21">
        <v>77.844376999999994</v>
      </c>
      <c r="D21">
        <v>99.939212999999995</v>
      </c>
      <c r="E21">
        <v>306.67002100000002</v>
      </c>
      <c r="F21">
        <v>24.488047999999999</v>
      </c>
      <c r="G21">
        <v>99.806764999999999</v>
      </c>
      <c r="H21">
        <v>295.825245</v>
      </c>
      <c r="I21">
        <v>0</v>
      </c>
      <c r="J21">
        <v>0</v>
      </c>
      <c r="K21">
        <v>0</v>
      </c>
      <c r="L21">
        <v>53.356329000000002</v>
      </c>
      <c r="M21">
        <v>100</v>
      </c>
      <c r="N21">
        <v>311.64726400000001</v>
      </c>
    </row>
    <row r="22" spans="1:14" x14ac:dyDescent="0.3">
      <c r="A22" t="s">
        <v>18</v>
      </c>
      <c r="B22" t="s">
        <v>32</v>
      </c>
      <c r="C22">
        <v>30.007339999999999</v>
      </c>
      <c r="D22">
        <v>68.606648000000007</v>
      </c>
      <c r="E22">
        <v>288.82240999999999</v>
      </c>
      <c r="F22">
        <v>17.34768</v>
      </c>
      <c r="G22">
        <v>45.697004</v>
      </c>
      <c r="H22">
        <v>134.60191900000001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>
        <v>500.15255000000002</v>
      </c>
    </row>
    <row r="23" spans="1:14" x14ac:dyDescent="0.3">
      <c r="A23" t="s">
        <v>18</v>
      </c>
      <c r="B23" t="s">
        <v>31</v>
      </c>
      <c r="C23">
        <v>16.776014</v>
      </c>
      <c r="D23">
        <v>42.725270999999999</v>
      </c>
      <c r="E23">
        <v>117.506052</v>
      </c>
      <c r="F23">
        <v>6.7206710000000003</v>
      </c>
      <c r="G23">
        <v>37.730773999999997</v>
      </c>
      <c r="H23">
        <v>145.88570100000001</v>
      </c>
      <c r="I23">
        <v>0.405416</v>
      </c>
      <c r="J23">
        <v>36.798591000000002</v>
      </c>
      <c r="K23">
        <v>60.43656</v>
      </c>
      <c r="L23">
        <v>9.6499269999999999</v>
      </c>
      <c r="M23">
        <v>46.452672</v>
      </c>
      <c r="N23">
        <v>100.13872600000001</v>
      </c>
    </row>
    <row r="24" spans="1:14" x14ac:dyDescent="0.3">
      <c r="A24" t="s">
        <v>18</v>
      </c>
      <c r="B24" t="s">
        <v>30</v>
      </c>
      <c r="C24">
        <v>105.81456</v>
      </c>
      <c r="D24">
        <v>38.058140000000002</v>
      </c>
      <c r="E24">
        <v>127.19472399999999</v>
      </c>
      <c r="F24">
        <v>71.252656000000002</v>
      </c>
      <c r="G24">
        <v>38.310293000000001</v>
      </c>
      <c r="H24">
        <v>135.868584</v>
      </c>
      <c r="I24">
        <v>0.40653800000000001</v>
      </c>
      <c r="J24">
        <v>61.795850000000002</v>
      </c>
      <c r="K24">
        <v>369.651769</v>
      </c>
      <c r="L24">
        <v>34.155366000000001</v>
      </c>
      <c r="M24">
        <v>37.249572999999998</v>
      </c>
      <c r="N24">
        <v>106.21402</v>
      </c>
    </row>
    <row r="25" spans="1:14" x14ac:dyDescent="0.3">
      <c r="A25" t="s">
        <v>18</v>
      </c>
      <c r="B25" t="s">
        <v>29</v>
      </c>
      <c r="C25">
        <v>44.159300000000002</v>
      </c>
      <c r="D25">
        <v>52.172091000000002</v>
      </c>
      <c r="E25">
        <v>82.131947999999994</v>
      </c>
      <c r="F25">
        <v>27.068470000000001</v>
      </c>
      <c r="G25">
        <v>21.973904999999998</v>
      </c>
      <c r="H25">
        <v>13.898368</v>
      </c>
      <c r="I25">
        <v>0</v>
      </c>
      <c r="J25">
        <v>0</v>
      </c>
      <c r="K25">
        <v>0</v>
      </c>
      <c r="L25">
        <v>17.09083</v>
      </c>
      <c r="M25">
        <v>100</v>
      </c>
      <c r="N25">
        <v>190.200346</v>
      </c>
    </row>
    <row r="26" spans="1:14" x14ac:dyDescent="0.3">
      <c r="A26" t="s">
        <v>18</v>
      </c>
      <c r="B26" t="s">
        <v>28</v>
      </c>
      <c r="C26">
        <v>26.352419999999999</v>
      </c>
      <c r="D26">
        <v>86.301410000000004</v>
      </c>
      <c r="E26">
        <v>176.303011</v>
      </c>
      <c r="F26">
        <v>18.734549999999999</v>
      </c>
      <c r="G26">
        <v>80.731268999999998</v>
      </c>
      <c r="H26">
        <v>124.314307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>
        <v>304.1583</v>
      </c>
    </row>
    <row r="27" spans="1:14" x14ac:dyDescent="0.3">
      <c r="A27" t="s">
        <v>18</v>
      </c>
      <c r="B27" t="s">
        <v>27</v>
      </c>
      <c r="C27">
        <v>1.37738</v>
      </c>
      <c r="D27">
        <v>96.310385999999994</v>
      </c>
      <c r="E27">
        <v>444.44781699999999</v>
      </c>
      <c r="F27">
        <v>0.92057</v>
      </c>
      <c r="G27">
        <v>94.479506999999998</v>
      </c>
      <c r="H27">
        <v>377.528459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>
        <v>579.30465700000002</v>
      </c>
    </row>
    <row r="28" spans="1:14" x14ac:dyDescent="0.3">
      <c r="A28" t="s">
        <v>18</v>
      </c>
      <c r="B28" t="s">
        <v>26</v>
      </c>
      <c r="C28">
        <v>3.4549999999999997E-2</v>
      </c>
      <c r="D28">
        <v>100</v>
      </c>
      <c r="E28">
        <v>504.21990599999998</v>
      </c>
      <c r="F28">
        <v>2E-3</v>
      </c>
      <c r="G28">
        <v>100</v>
      </c>
      <c r="H28">
        <v>363.25996199999997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>
        <v>512.88103999999998</v>
      </c>
    </row>
    <row r="29" spans="1:14" x14ac:dyDescent="0.3">
      <c r="A29" t="s">
        <v>18</v>
      </c>
      <c r="B29" t="s">
        <v>25</v>
      </c>
      <c r="C29">
        <v>2.9764879999999998</v>
      </c>
      <c r="D29">
        <v>72.110202999999998</v>
      </c>
      <c r="E29">
        <v>505.88950999999997</v>
      </c>
      <c r="F29">
        <v>2.016947</v>
      </c>
      <c r="G29">
        <v>85.586674000000002</v>
      </c>
      <c r="H29">
        <v>636.16626299999996</v>
      </c>
      <c r="I29">
        <v>0.40108300000000002</v>
      </c>
      <c r="J29">
        <v>19.628235</v>
      </c>
      <c r="K29">
        <v>122.111059</v>
      </c>
      <c r="L29">
        <v>0.55845699999999998</v>
      </c>
      <c r="M29">
        <v>61.130473000000002</v>
      </c>
      <c r="N29">
        <v>311.00561299999998</v>
      </c>
    </row>
    <row r="30" spans="1:14" x14ac:dyDescent="0.3">
      <c r="A30" t="s">
        <v>18</v>
      </c>
      <c r="B30" t="s">
        <v>24</v>
      </c>
      <c r="C30">
        <v>95.928974999999994</v>
      </c>
      <c r="D30">
        <v>40.120485000000002</v>
      </c>
      <c r="E30">
        <v>88.432619000000003</v>
      </c>
      <c r="F30">
        <v>94.397018000000003</v>
      </c>
      <c r="G30">
        <v>39.854486000000001</v>
      </c>
      <c r="H30">
        <v>87.113048000000006</v>
      </c>
      <c r="I30">
        <v>0</v>
      </c>
      <c r="J30">
        <v>0</v>
      </c>
      <c r="K30">
        <v>0</v>
      </c>
      <c r="L30">
        <v>1.531957</v>
      </c>
      <c r="M30">
        <v>56.510970999999998</v>
      </c>
      <c r="N30">
        <v>169.74274600000001</v>
      </c>
    </row>
    <row r="31" spans="1:14" x14ac:dyDescent="0.3">
      <c r="A31" t="s">
        <v>18</v>
      </c>
      <c r="B31" t="s">
        <v>23</v>
      </c>
      <c r="C31">
        <v>42.007702999999999</v>
      </c>
      <c r="D31">
        <v>67.059985999999995</v>
      </c>
      <c r="E31">
        <v>126.47905299999999</v>
      </c>
      <c r="F31">
        <v>22.885097999999999</v>
      </c>
      <c r="G31">
        <v>39.535572000000002</v>
      </c>
      <c r="H31">
        <v>72.816452999999996</v>
      </c>
      <c r="I31">
        <v>0</v>
      </c>
      <c r="J31">
        <v>0</v>
      </c>
      <c r="K31">
        <v>0</v>
      </c>
      <c r="L31">
        <v>19.122606000000001</v>
      </c>
      <c r="M31">
        <v>100</v>
      </c>
      <c r="N31">
        <v>190.70010400000001</v>
      </c>
    </row>
    <row r="32" spans="1:14" x14ac:dyDescent="0.3">
      <c r="A32" t="s">
        <v>18</v>
      </c>
      <c r="B32" t="s">
        <v>22</v>
      </c>
      <c r="C32">
        <v>109.33327800000001</v>
      </c>
      <c r="D32">
        <v>80.823926</v>
      </c>
      <c r="E32">
        <v>211.52499700000001</v>
      </c>
      <c r="F32">
        <v>71.566817999999998</v>
      </c>
      <c r="G32">
        <v>70.704537999999999</v>
      </c>
      <c r="H32">
        <v>121.504435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>
        <v>382.11247200000003</v>
      </c>
    </row>
    <row r="33" spans="1:14" x14ac:dyDescent="0.3">
      <c r="A33" t="s">
        <v>18</v>
      </c>
      <c r="B33" t="s">
        <v>21</v>
      </c>
      <c r="C33">
        <v>26.799309999999998</v>
      </c>
      <c r="D33">
        <v>76.359205000000003</v>
      </c>
      <c r="E33">
        <v>151.17291900000001</v>
      </c>
      <c r="F33">
        <v>20.655619999999999</v>
      </c>
      <c r="G33">
        <v>69.329558000000006</v>
      </c>
      <c r="H33">
        <v>106.448785</v>
      </c>
      <c r="I33">
        <v>0</v>
      </c>
      <c r="J33">
        <v>0</v>
      </c>
      <c r="K33">
        <v>0</v>
      </c>
      <c r="L33">
        <v>6.1436900000000003</v>
      </c>
      <c r="M33">
        <v>99.993488999999997</v>
      </c>
      <c r="N33">
        <v>301.53934800000002</v>
      </c>
    </row>
    <row r="34" spans="1:14" x14ac:dyDescent="0.3">
      <c r="A34" t="s">
        <v>18</v>
      </c>
      <c r="B34" t="s">
        <v>20</v>
      </c>
      <c r="C34">
        <v>14.066174</v>
      </c>
      <c r="D34">
        <v>50.152757999999999</v>
      </c>
      <c r="E34">
        <v>158.39702600000001</v>
      </c>
      <c r="F34">
        <v>10.980017</v>
      </c>
      <c r="G34">
        <v>36.152194999999999</v>
      </c>
      <c r="H34">
        <v>81.808753999999993</v>
      </c>
      <c r="I34">
        <v>0</v>
      </c>
      <c r="J34">
        <v>0</v>
      </c>
      <c r="K34">
        <v>0</v>
      </c>
      <c r="L34">
        <v>3.086157</v>
      </c>
      <c r="M34">
        <v>99.964357000000007</v>
      </c>
      <c r="N34">
        <v>430.88494200000002</v>
      </c>
    </row>
    <row r="35" spans="1:14" x14ac:dyDescent="0.3">
      <c r="A35" t="s">
        <v>18</v>
      </c>
      <c r="B35" t="s">
        <v>19</v>
      </c>
      <c r="C35">
        <v>251.921649</v>
      </c>
      <c r="D35">
        <v>87.803240000000002</v>
      </c>
      <c r="E35">
        <v>282.004526</v>
      </c>
      <c r="F35">
        <v>91.482399999999998</v>
      </c>
      <c r="G35">
        <v>66.412906000000007</v>
      </c>
      <c r="H35">
        <v>204.29705999999999</v>
      </c>
      <c r="I35">
        <v>0</v>
      </c>
      <c r="J35">
        <v>0</v>
      </c>
      <c r="K35">
        <v>0</v>
      </c>
      <c r="L35">
        <v>160.43924999999999</v>
      </c>
      <c r="M35">
        <v>100</v>
      </c>
      <c r="N35">
        <v>326.31329499999998</v>
      </c>
    </row>
    <row r="36" spans="1:14" x14ac:dyDescent="0.3">
      <c r="A36" t="s">
        <v>18</v>
      </c>
      <c r="B36" t="s">
        <v>17</v>
      </c>
      <c r="C36">
        <v>58.643210000000003</v>
      </c>
      <c r="D36">
        <v>10.37433</v>
      </c>
      <c r="E36">
        <v>9.0154809999999994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58.643210000000003</v>
      </c>
      <c r="M36">
        <v>10.37433</v>
      </c>
      <c r="N36">
        <v>9.0154809999999994</v>
      </c>
    </row>
    <row r="37" spans="1:14" x14ac:dyDescent="0.3">
      <c r="A37" t="s">
        <v>16</v>
      </c>
      <c r="C37">
        <v>1445.568767</v>
      </c>
      <c r="D37">
        <v>59.735156000000003</v>
      </c>
      <c r="E37">
        <v>174.635603</v>
      </c>
      <c r="F37">
        <v>927.81458199999997</v>
      </c>
      <c r="G37">
        <v>50.179997</v>
      </c>
      <c r="H37">
        <v>137.96384800000001</v>
      </c>
      <c r="I37">
        <v>8.2177690000000005</v>
      </c>
      <c r="J37">
        <v>8.3098899999999993</v>
      </c>
      <c r="K37">
        <v>28.167238999999999</v>
      </c>
      <c r="L37">
        <v>509.53641499999998</v>
      </c>
      <c r="M37">
        <v>77.963524000000007</v>
      </c>
      <c r="N37">
        <v>243.77341300000001</v>
      </c>
    </row>
    <row r="38" spans="1:14" x14ac:dyDescent="0.3">
      <c r="A38" t="s">
        <v>3</v>
      </c>
      <c r="B38" t="s">
        <v>15</v>
      </c>
      <c r="C38">
        <v>19.970838000000001</v>
      </c>
      <c r="D38">
        <v>91.600792999999996</v>
      </c>
      <c r="E38">
        <v>337.43010800000002</v>
      </c>
      <c r="F38">
        <v>7.4283419999999998</v>
      </c>
      <c r="G38">
        <v>77.419027</v>
      </c>
      <c r="H38">
        <v>154.173045</v>
      </c>
      <c r="I38">
        <v>0</v>
      </c>
      <c r="J38">
        <v>0</v>
      </c>
      <c r="K38">
        <v>0</v>
      </c>
      <c r="L38">
        <v>12.542496</v>
      </c>
      <c r="M38">
        <v>100</v>
      </c>
      <c r="N38">
        <v>445.96481799999998</v>
      </c>
    </row>
    <row r="39" spans="1:14" x14ac:dyDescent="0.3">
      <c r="A39" t="s">
        <v>3</v>
      </c>
      <c r="B39" t="s">
        <v>14</v>
      </c>
      <c r="C39">
        <v>66.500259999999997</v>
      </c>
      <c r="D39">
        <v>96.891605999999996</v>
      </c>
      <c r="E39">
        <v>266.41937300000001</v>
      </c>
      <c r="F39">
        <v>59.627850000000002</v>
      </c>
      <c r="G39">
        <v>96.533348000000004</v>
      </c>
      <c r="H39">
        <v>251.72780499999999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>
        <v>393.88945100000001</v>
      </c>
    </row>
    <row r="40" spans="1:14" x14ac:dyDescent="0.3">
      <c r="A40" t="s">
        <v>3</v>
      </c>
      <c r="B40" t="s">
        <v>13</v>
      </c>
      <c r="C40">
        <v>37.044150999999999</v>
      </c>
      <c r="D40">
        <v>66.024333999999996</v>
      </c>
      <c r="E40">
        <v>147.167766</v>
      </c>
      <c r="F40">
        <v>22.629581999999999</v>
      </c>
      <c r="G40">
        <v>44.382548</v>
      </c>
      <c r="H40">
        <v>81.410629</v>
      </c>
      <c r="I40">
        <v>0</v>
      </c>
      <c r="J40">
        <v>0</v>
      </c>
      <c r="K40">
        <v>0</v>
      </c>
      <c r="L40">
        <v>14.414569</v>
      </c>
      <c r="M40">
        <v>100</v>
      </c>
      <c r="N40">
        <v>250.40058099999999</v>
      </c>
    </row>
    <row r="41" spans="1:14" x14ac:dyDescent="0.3">
      <c r="A41" t="s">
        <v>3</v>
      </c>
      <c r="B41" t="s">
        <v>12</v>
      </c>
      <c r="C41">
        <v>4.703036</v>
      </c>
      <c r="D41">
        <v>67.722204000000005</v>
      </c>
      <c r="E41">
        <v>129.00683900000001</v>
      </c>
      <c r="F41">
        <v>3.9760390000000001</v>
      </c>
      <c r="G41">
        <v>61.820388999999999</v>
      </c>
      <c r="H41">
        <v>91.783805999999998</v>
      </c>
      <c r="I41">
        <v>0</v>
      </c>
      <c r="J41">
        <v>0</v>
      </c>
      <c r="K41">
        <v>0</v>
      </c>
      <c r="L41">
        <v>0.726997</v>
      </c>
      <c r="M41">
        <v>100</v>
      </c>
      <c r="N41">
        <v>332.58449100000001</v>
      </c>
    </row>
    <row r="42" spans="1:14" x14ac:dyDescent="0.3">
      <c r="A42" t="s">
        <v>3</v>
      </c>
      <c r="B42" t="s">
        <v>11</v>
      </c>
      <c r="C42">
        <v>16.892092000000002</v>
      </c>
      <c r="D42">
        <v>62.655543999999999</v>
      </c>
      <c r="E42">
        <v>129.06808799999999</v>
      </c>
      <c r="F42">
        <v>8.3265480000000007</v>
      </c>
      <c r="G42">
        <v>24.239191999999999</v>
      </c>
      <c r="H42">
        <v>16.358768999999999</v>
      </c>
      <c r="I42">
        <v>0</v>
      </c>
      <c r="J42">
        <v>0</v>
      </c>
      <c r="K42">
        <v>0</v>
      </c>
      <c r="L42">
        <v>8.5655439999999992</v>
      </c>
      <c r="M42">
        <v>100</v>
      </c>
      <c r="N42">
        <v>238.632586</v>
      </c>
    </row>
    <row r="43" spans="1:14" x14ac:dyDescent="0.3">
      <c r="A43" t="s">
        <v>3</v>
      </c>
      <c r="B43" t="s">
        <v>10</v>
      </c>
      <c r="C43">
        <v>3.7738299999999998</v>
      </c>
      <c r="D43">
        <v>92.511850999999993</v>
      </c>
      <c r="E43">
        <v>265.611987</v>
      </c>
      <c r="F43">
        <v>1.8271599999999999</v>
      </c>
      <c r="G43">
        <v>84.533921000000007</v>
      </c>
      <c r="H43">
        <v>117.79931999999999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>
        <v>404.35013500000002</v>
      </c>
    </row>
    <row r="44" spans="1:14" x14ac:dyDescent="0.3">
      <c r="A44" t="s">
        <v>3</v>
      </c>
      <c r="B44" t="s">
        <v>9</v>
      </c>
      <c r="C44">
        <v>9.0587280000000003</v>
      </c>
      <c r="D44">
        <v>52.164852000000003</v>
      </c>
      <c r="E44">
        <v>97.732906</v>
      </c>
      <c r="F44">
        <v>6.0905389999999997</v>
      </c>
      <c r="G44">
        <v>28.852664999999998</v>
      </c>
      <c r="H44">
        <v>18.282301</v>
      </c>
      <c r="I44">
        <v>0</v>
      </c>
      <c r="J44">
        <v>0</v>
      </c>
      <c r="K44">
        <v>0</v>
      </c>
      <c r="L44">
        <v>2.9681899999999999</v>
      </c>
      <c r="M44">
        <v>100</v>
      </c>
      <c r="N44">
        <v>260.76056599999998</v>
      </c>
    </row>
    <row r="45" spans="1:14" x14ac:dyDescent="0.3">
      <c r="A45" t="s">
        <v>3</v>
      </c>
      <c r="B45" t="s">
        <v>8</v>
      </c>
      <c r="C45">
        <v>303.44588199999998</v>
      </c>
      <c r="D45">
        <v>3.8580209999999999</v>
      </c>
      <c r="E45">
        <v>3.4757609999999999</v>
      </c>
      <c r="F45">
        <v>124.62925</v>
      </c>
      <c r="G45">
        <v>6.5834599999999996</v>
      </c>
      <c r="H45">
        <v>6.0980990000000004</v>
      </c>
      <c r="I45">
        <v>23.593050000000002</v>
      </c>
      <c r="J45">
        <v>9.4737709999999993</v>
      </c>
      <c r="K45">
        <v>8.9033820000000006</v>
      </c>
      <c r="L45">
        <v>155.22358199999999</v>
      </c>
      <c r="M45">
        <v>0.81620099999999995</v>
      </c>
      <c r="N45">
        <v>0.54531600000000002</v>
      </c>
    </row>
    <row r="46" spans="1:14" x14ac:dyDescent="0.3">
      <c r="A46" t="s">
        <v>3</v>
      </c>
      <c r="B46" t="s">
        <v>7</v>
      </c>
      <c r="C46">
        <v>643.11932999999999</v>
      </c>
      <c r="D46">
        <v>33.493698999999999</v>
      </c>
      <c r="E46">
        <v>32.906528999999999</v>
      </c>
      <c r="F46">
        <v>518.69763999999998</v>
      </c>
      <c r="G46">
        <v>30.639422</v>
      </c>
      <c r="H46">
        <v>28.986664999999999</v>
      </c>
      <c r="I46">
        <v>0</v>
      </c>
      <c r="J46">
        <v>0</v>
      </c>
      <c r="K46">
        <v>0</v>
      </c>
      <c r="L46">
        <v>124.42169</v>
      </c>
      <c r="M46">
        <v>45.392800999999999</v>
      </c>
      <c r="N46">
        <v>49.247928000000002</v>
      </c>
    </row>
    <row r="47" spans="1:14" x14ac:dyDescent="0.3">
      <c r="A47" t="s">
        <v>3</v>
      </c>
      <c r="B47" t="s">
        <v>6</v>
      </c>
      <c r="C47">
        <v>33.064343999999998</v>
      </c>
      <c r="D47">
        <v>78.408241000000004</v>
      </c>
      <c r="E47">
        <v>251.26296500000001</v>
      </c>
      <c r="F47">
        <v>19.799917000000001</v>
      </c>
      <c r="G47">
        <v>63.943418999999999</v>
      </c>
      <c r="H47">
        <v>106.346784</v>
      </c>
      <c r="I47">
        <v>0</v>
      </c>
      <c r="J47">
        <v>0</v>
      </c>
      <c r="K47">
        <v>0</v>
      </c>
      <c r="L47">
        <v>13.264427</v>
      </c>
      <c r="M47">
        <v>100</v>
      </c>
      <c r="N47">
        <v>467.58052900000001</v>
      </c>
    </row>
    <row r="48" spans="1:14" x14ac:dyDescent="0.3">
      <c r="A48" t="s">
        <v>3</v>
      </c>
      <c r="B48" t="s">
        <v>5</v>
      </c>
      <c r="C48">
        <v>24.247599999999998</v>
      </c>
      <c r="D48">
        <v>37.922103999999997</v>
      </c>
      <c r="E48">
        <v>141.918441</v>
      </c>
      <c r="F48">
        <v>10.4964</v>
      </c>
      <c r="G48">
        <v>54.816890000000001</v>
      </c>
      <c r="H48">
        <v>233.75376499999999</v>
      </c>
      <c r="I48">
        <v>0.1326</v>
      </c>
      <c r="J48">
        <v>31.825037999999999</v>
      </c>
      <c r="K48">
        <v>50.603417</v>
      </c>
      <c r="L48">
        <v>13.618600000000001</v>
      </c>
      <c r="M48">
        <v>24.959980999999999</v>
      </c>
      <c r="N48">
        <v>72.026387</v>
      </c>
    </row>
    <row r="49" spans="1:14" x14ac:dyDescent="0.3">
      <c r="A49" t="s">
        <v>3</v>
      </c>
      <c r="B49" t="s">
        <v>4</v>
      </c>
      <c r="C49">
        <v>97.773409999999998</v>
      </c>
      <c r="D49">
        <v>99.267510000000001</v>
      </c>
      <c r="E49">
        <v>299.06808599999999</v>
      </c>
      <c r="F49">
        <v>74.459490000000002</v>
      </c>
      <c r="G49">
        <v>99.038162</v>
      </c>
      <c r="H49">
        <v>276.55517600000002</v>
      </c>
      <c r="I49">
        <v>0</v>
      </c>
      <c r="J49">
        <v>0</v>
      </c>
      <c r="K49">
        <v>0</v>
      </c>
      <c r="L49">
        <v>23.31392</v>
      </c>
      <c r="M49">
        <v>100</v>
      </c>
      <c r="N49">
        <v>370.96932600000002</v>
      </c>
    </row>
    <row r="50" spans="1:14" x14ac:dyDescent="0.3">
      <c r="A50" t="s">
        <v>3</v>
      </c>
      <c r="B50" t="s">
        <v>2</v>
      </c>
      <c r="C50">
        <v>71.069734999999994</v>
      </c>
      <c r="D50">
        <v>7.0480520000000002</v>
      </c>
      <c r="E50">
        <v>10.459911</v>
      </c>
      <c r="F50">
        <v>19.14141</v>
      </c>
      <c r="G50">
        <v>19.962427000000002</v>
      </c>
      <c r="H50">
        <v>30.251061</v>
      </c>
      <c r="I50">
        <v>0.71511499999999995</v>
      </c>
      <c r="J50">
        <v>0.40301199999999998</v>
      </c>
      <c r="K50">
        <v>0.165824</v>
      </c>
      <c r="L50">
        <v>51.213209999999997</v>
      </c>
      <c r="M50">
        <v>2.3139729999999998</v>
      </c>
      <c r="N50">
        <v>3.2065269999999999</v>
      </c>
    </row>
    <row r="51" spans="1:14" x14ac:dyDescent="0.3">
      <c r="A51" t="s">
        <v>1</v>
      </c>
      <c r="C51">
        <v>1330.663237</v>
      </c>
      <c r="D51">
        <v>37.084394000000003</v>
      </c>
      <c r="E51">
        <v>74.047988000000004</v>
      </c>
      <c r="F51">
        <v>877.13016800000003</v>
      </c>
      <c r="G51">
        <v>39.246541999999998</v>
      </c>
      <c r="H51">
        <v>68.805082999999996</v>
      </c>
      <c r="I51">
        <v>24.440764999999999</v>
      </c>
      <c r="J51">
        <v>9.3296320000000001</v>
      </c>
      <c r="K51">
        <v>8.8739659999999994</v>
      </c>
      <c r="L51">
        <v>429.09230400000001</v>
      </c>
      <c r="M51">
        <v>34.245524000000003</v>
      </c>
      <c r="N51">
        <v>88.477548999999996</v>
      </c>
    </row>
    <row r="52" spans="1:14" x14ac:dyDescent="0.3">
      <c r="A52" t="s">
        <v>0</v>
      </c>
      <c r="C52">
        <v>2776.2320030000001</v>
      </c>
      <c r="D52">
        <v>48.878521999999997</v>
      </c>
      <c r="E52">
        <v>126.423407</v>
      </c>
      <c r="F52">
        <v>1804.9447500000001</v>
      </c>
      <c r="G52">
        <v>44.866779999999999</v>
      </c>
      <c r="H52">
        <v>104.355485</v>
      </c>
      <c r="I52">
        <v>32.658534000000003</v>
      </c>
      <c r="J52">
        <v>9.0730380000000004</v>
      </c>
      <c r="K52">
        <v>13.728675000000001</v>
      </c>
      <c r="L52">
        <v>938.62871900000005</v>
      </c>
      <c r="M52">
        <v>57.977924999999999</v>
      </c>
      <c r="N52">
        <v>172.78020900000001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6450-864F-4DCF-B75A-E5F1F05EC82F}">
  <dimension ref="A2:N52"/>
  <sheetViews>
    <sheetView workbookViewId="0"/>
  </sheetViews>
  <sheetFormatPr defaultRowHeight="14.4" x14ac:dyDescent="0.3"/>
  <sheetData>
    <row r="2" spans="1:14" x14ac:dyDescent="0.3">
      <c r="A2" t="s">
        <v>62</v>
      </c>
    </row>
    <row r="3" spans="1:14" x14ac:dyDescent="0.3">
      <c r="A3" t="s">
        <v>64</v>
      </c>
    </row>
    <row r="4" spans="1:14" x14ac:dyDescent="0.3">
      <c r="A4" t="s">
        <v>60</v>
      </c>
    </row>
    <row r="5" spans="1:14" x14ac:dyDescent="0.3">
      <c r="A5" t="s">
        <v>59</v>
      </c>
    </row>
    <row r="6" spans="1:14" x14ac:dyDescent="0.3">
      <c r="A6" t="s">
        <v>58</v>
      </c>
    </row>
    <row r="7" spans="1:14" x14ac:dyDescent="0.3">
      <c r="A7" t="s">
        <v>57</v>
      </c>
    </row>
    <row r="9" spans="1:14" x14ac:dyDescent="0.3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3">
      <c r="A10" t="s">
        <v>18</v>
      </c>
      <c r="B10" t="s">
        <v>44</v>
      </c>
      <c r="C10">
        <v>50.48854</v>
      </c>
      <c r="D10">
        <v>24.736167999999999</v>
      </c>
      <c r="E10">
        <v>50.209868999999998</v>
      </c>
      <c r="F10">
        <v>39.292830000000002</v>
      </c>
      <c r="G10">
        <v>25.496051000000001</v>
      </c>
      <c r="H10">
        <v>57.527448999999997</v>
      </c>
      <c r="I10">
        <v>5.1999999999999995E-4</v>
      </c>
      <c r="J10">
        <v>0</v>
      </c>
      <c r="K10">
        <v>0</v>
      </c>
      <c r="L10">
        <v>11.19519</v>
      </c>
      <c r="M10">
        <v>22.067066000000001</v>
      </c>
      <c r="N10">
        <v>24.511263</v>
      </c>
    </row>
    <row r="11" spans="1:14" x14ac:dyDescent="0.3">
      <c r="A11" t="s">
        <v>18</v>
      </c>
      <c r="B11" t="s">
        <v>43</v>
      </c>
      <c r="C11">
        <v>15.55151</v>
      </c>
      <c r="D11">
        <v>44.030965000000002</v>
      </c>
      <c r="E11">
        <v>361.92734300000001</v>
      </c>
      <c r="F11">
        <v>12.818580000000001</v>
      </c>
      <c r="G11">
        <v>48.378056999999998</v>
      </c>
      <c r="H11">
        <v>417.22661499999998</v>
      </c>
      <c r="I11">
        <v>0.13514999999999999</v>
      </c>
      <c r="J11">
        <v>9.5745470000000008</v>
      </c>
      <c r="K11">
        <v>22.225028999999999</v>
      </c>
      <c r="L11">
        <v>2.5977800000000002</v>
      </c>
      <c r="M11">
        <v>24.373118999999999</v>
      </c>
      <c r="N11">
        <v>106.729682</v>
      </c>
    </row>
    <row r="12" spans="1:14" x14ac:dyDescent="0.3">
      <c r="A12" t="s">
        <v>18</v>
      </c>
      <c r="B12" t="s">
        <v>42</v>
      </c>
      <c r="C12">
        <v>54.322257</v>
      </c>
      <c r="D12">
        <v>50.485394999999997</v>
      </c>
      <c r="E12">
        <v>101.593587</v>
      </c>
      <c r="F12">
        <v>37.227128</v>
      </c>
      <c r="G12">
        <v>27.747713999999998</v>
      </c>
      <c r="H12">
        <v>19.695087000000001</v>
      </c>
      <c r="I12">
        <v>0</v>
      </c>
      <c r="J12">
        <v>0</v>
      </c>
      <c r="K12">
        <v>0</v>
      </c>
      <c r="L12">
        <v>17.095129</v>
      </c>
      <c r="M12">
        <v>100</v>
      </c>
      <c r="N12">
        <v>279.93947700000001</v>
      </c>
    </row>
    <row r="13" spans="1:14" x14ac:dyDescent="0.3">
      <c r="A13" t="s">
        <v>18</v>
      </c>
      <c r="B13" t="s">
        <v>41</v>
      </c>
      <c r="C13">
        <v>36.410994000000002</v>
      </c>
      <c r="D13">
        <v>72.869114999999994</v>
      </c>
      <c r="E13">
        <v>230.18946700000001</v>
      </c>
      <c r="F13">
        <v>19.764983000000001</v>
      </c>
      <c r="G13">
        <v>50.019562999999998</v>
      </c>
      <c r="H13">
        <v>99.776961</v>
      </c>
      <c r="I13">
        <v>0</v>
      </c>
      <c r="J13">
        <v>0</v>
      </c>
      <c r="K13">
        <v>0</v>
      </c>
      <c r="L13">
        <v>16.646011000000001</v>
      </c>
      <c r="M13">
        <v>100</v>
      </c>
      <c r="N13">
        <v>385.03743600000001</v>
      </c>
    </row>
    <row r="14" spans="1:14" x14ac:dyDescent="0.3">
      <c r="A14" t="s">
        <v>18</v>
      </c>
      <c r="B14" t="s">
        <v>40</v>
      </c>
      <c r="C14">
        <v>1.69143</v>
      </c>
      <c r="D14">
        <v>100</v>
      </c>
      <c r="E14">
        <v>324.45058499999999</v>
      </c>
      <c r="F14">
        <v>0.65830999999999995</v>
      </c>
      <c r="G14">
        <v>100</v>
      </c>
      <c r="H14">
        <v>352.29706700000003</v>
      </c>
      <c r="I14">
        <v>0</v>
      </c>
      <c r="J14">
        <v>0</v>
      </c>
      <c r="K14">
        <v>0</v>
      </c>
      <c r="L14">
        <v>1.03312</v>
      </c>
      <c r="M14">
        <v>100</v>
      </c>
      <c r="N14">
        <v>306.70664699999998</v>
      </c>
    </row>
    <row r="15" spans="1:14" x14ac:dyDescent="0.3">
      <c r="A15" t="s">
        <v>18</v>
      </c>
      <c r="B15" t="s">
        <v>39</v>
      </c>
      <c r="C15">
        <v>23.831250000000001</v>
      </c>
      <c r="D15">
        <v>45.499082000000001</v>
      </c>
      <c r="E15">
        <v>57.938127000000001</v>
      </c>
      <c r="F15">
        <v>23.71875</v>
      </c>
      <c r="G15">
        <v>45.545191000000003</v>
      </c>
      <c r="H15">
        <v>57.987707999999998</v>
      </c>
      <c r="I15">
        <v>0</v>
      </c>
      <c r="J15">
        <v>0</v>
      </c>
      <c r="K15">
        <v>0</v>
      </c>
      <c r="L15">
        <v>0.1125</v>
      </c>
      <c r="M15">
        <v>35.777777999999998</v>
      </c>
      <c r="N15">
        <v>47.484772999999997</v>
      </c>
    </row>
    <row r="16" spans="1:14" x14ac:dyDescent="0.3">
      <c r="A16" t="s">
        <v>18</v>
      </c>
      <c r="B16" t="s">
        <v>38</v>
      </c>
      <c r="C16">
        <v>6.6650200000000002</v>
      </c>
      <c r="D16">
        <v>99.052216000000001</v>
      </c>
      <c r="E16">
        <v>445.96763099999998</v>
      </c>
      <c r="F16">
        <v>3.79548</v>
      </c>
      <c r="G16">
        <v>98.335651999999996</v>
      </c>
      <c r="H16">
        <v>375.37544500000001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>
        <v>539.33842600000003</v>
      </c>
    </row>
    <row r="17" spans="1:14" x14ac:dyDescent="0.3">
      <c r="A17" t="s">
        <v>18</v>
      </c>
      <c r="B17" t="s">
        <v>37</v>
      </c>
      <c r="C17">
        <v>30.592469999999999</v>
      </c>
      <c r="D17">
        <v>26.343900999999999</v>
      </c>
      <c r="E17">
        <v>20.290071000000001</v>
      </c>
      <c r="F17">
        <v>21.647210000000001</v>
      </c>
      <c r="G17">
        <v>0.25573699999999999</v>
      </c>
      <c r="H17">
        <v>7.0413000000000003E-2</v>
      </c>
      <c r="I17">
        <v>0</v>
      </c>
      <c r="J17">
        <v>0</v>
      </c>
      <c r="K17">
        <v>0</v>
      </c>
      <c r="L17">
        <v>8.9452599999999993</v>
      </c>
      <c r="M17">
        <v>89.476326</v>
      </c>
      <c r="N17">
        <v>69.220921000000004</v>
      </c>
    </row>
    <row r="18" spans="1:14" x14ac:dyDescent="0.3">
      <c r="A18" t="s">
        <v>18</v>
      </c>
      <c r="B18" t="s">
        <v>36</v>
      </c>
      <c r="C18">
        <v>41.047379999999997</v>
      </c>
      <c r="D18">
        <v>0.53408999999999995</v>
      </c>
      <c r="E18">
        <v>0.10808</v>
      </c>
      <c r="F18">
        <v>17.296330000000001</v>
      </c>
      <c r="G18">
        <v>0.170788</v>
      </c>
      <c r="H18">
        <v>4.7612000000000002E-2</v>
      </c>
      <c r="I18">
        <v>6.7621799999999999</v>
      </c>
      <c r="J18">
        <v>2.8051599999999999</v>
      </c>
      <c r="K18">
        <v>0.53427800000000003</v>
      </c>
      <c r="L18">
        <v>16.988869999999999</v>
      </c>
      <c r="M18">
        <v>0</v>
      </c>
      <c r="N18">
        <v>0</v>
      </c>
    </row>
    <row r="19" spans="1:14" x14ac:dyDescent="0.3">
      <c r="A19" t="s">
        <v>18</v>
      </c>
      <c r="B19" t="s">
        <v>35</v>
      </c>
      <c r="C19">
        <v>176.93678</v>
      </c>
      <c r="D19">
        <v>49.938231999999999</v>
      </c>
      <c r="E19">
        <v>112.294873</v>
      </c>
      <c r="F19">
        <v>170.24708000000001</v>
      </c>
      <c r="G19">
        <v>48.820115000000001</v>
      </c>
      <c r="H19">
        <v>113.852915</v>
      </c>
      <c r="I19">
        <v>0</v>
      </c>
      <c r="J19">
        <v>0</v>
      </c>
      <c r="K19">
        <v>0</v>
      </c>
      <c r="L19">
        <v>6.6897000000000002</v>
      </c>
      <c r="M19">
        <v>78.393350999999996</v>
      </c>
      <c r="N19">
        <v>72.644047</v>
      </c>
    </row>
    <row r="20" spans="1:14" x14ac:dyDescent="0.3">
      <c r="A20" t="s">
        <v>18</v>
      </c>
      <c r="B20" t="s">
        <v>34</v>
      </c>
      <c r="C20">
        <v>103.988407</v>
      </c>
      <c r="D20">
        <v>55.865372999999998</v>
      </c>
      <c r="E20">
        <v>257.50611300000003</v>
      </c>
      <c r="F20">
        <v>100.829339</v>
      </c>
      <c r="G20">
        <v>56.548845</v>
      </c>
      <c r="H20">
        <v>259.53101299999997</v>
      </c>
      <c r="I20">
        <v>0.10688300000000001</v>
      </c>
      <c r="J20">
        <v>5.9770370000000002</v>
      </c>
      <c r="K20">
        <v>10.072744999999999</v>
      </c>
      <c r="L20">
        <v>3.0521859999999998</v>
      </c>
      <c r="M20">
        <v>35.033804000000003</v>
      </c>
      <c r="N20">
        <v>199.27802500000001</v>
      </c>
    </row>
    <row r="21" spans="1:14" x14ac:dyDescent="0.3">
      <c r="A21" t="s">
        <v>18</v>
      </c>
      <c r="B21" t="s">
        <v>33</v>
      </c>
      <c r="C21">
        <v>77.844376999999994</v>
      </c>
      <c r="D21">
        <v>99.905158</v>
      </c>
      <c r="E21">
        <v>288.18883899999997</v>
      </c>
      <c r="F21">
        <v>24.488047999999999</v>
      </c>
      <c r="G21">
        <v>99.698508000000004</v>
      </c>
      <c r="H21">
        <v>274.43991</v>
      </c>
      <c r="I21">
        <v>0</v>
      </c>
      <c r="J21">
        <v>0</v>
      </c>
      <c r="K21">
        <v>0</v>
      </c>
      <c r="L21">
        <v>53.356329000000002</v>
      </c>
      <c r="M21">
        <v>100</v>
      </c>
      <c r="N21">
        <v>294.49895099999998</v>
      </c>
    </row>
    <row r="22" spans="1:14" x14ac:dyDescent="0.3">
      <c r="A22" t="s">
        <v>18</v>
      </c>
      <c r="B22" t="s">
        <v>32</v>
      </c>
      <c r="C22">
        <v>30.007339999999999</v>
      </c>
      <c r="D22">
        <v>68.555593000000002</v>
      </c>
      <c r="E22">
        <v>287.24153899999999</v>
      </c>
      <c r="F22">
        <v>17.34768</v>
      </c>
      <c r="G22">
        <v>45.608691999999998</v>
      </c>
      <c r="H22">
        <v>133.44238100000001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>
        <v>497.99432200000001</v>
      </c>
    </row>
    <row r="23" spans="1:14" x14ac:dyDescent="0.3">
      <c r="A23" t="s">
        <v>18</v>
      </c>
      <c r="B23" t="s">
        <v>31</v>
      </c>
      <c r="C23">
        <v>16.776014</v>
      </c>
      <c r="D23">
        <v>42.318890000000003</v>
      </c>
      <c r="E23">
        <v>110.519986</v>
      </c>
      <c r="F23">
        <v>6.7206710000000003</v>
      </c>
      <c r="G23">
        <v>36.873269999999998</v>
      </c>
      <c r="H23">
        <v>136.853587</v>
      </c>
      <c r="I23">
        <v>0.405416</v>
      </c>
      <c r="J23">
        <v>36.756348000000003</v>
      </c>
      <c r="K23">
        <v>55.486396999999997</v>
      </c>
      <c r="L23">
        <v>9.6499269999999999</v>
      </c>
      <c r="M23">
        <v>46.345174999999998</v>
      </c>
      <c r="N23">
        <v>94.492092999999997</v>
      </c>
    </row>
    <row r="24" spans="1:14" x14ac:dyDescent="0.3">
      <c r="A24" t="s">
        <v>18</v>
      </c>
      <c r="B24" t="s">
        <v>30</v>
      </c>
      <c r="C24">
        <v>105.81456</v>
      </c>
      <c r="D24">
        <v>37.186190000000003</v>
      </c>
      <c r="E24">
        <v>124.292446</v>
      </c>
      <c r="F24">
        <v>71.252656000000002</v>
      </c>
      <c r="G24">
        <v>37.391801999999998</v>
      </c>
      <c r="H24">
        <v>132.65441999999999</v>
      </c>
      <c r="I24">
        <v>0.40653800000000001</v>
      </c>
      <c r="J24">
        <v>61.724516000000001</v>
      </c>
      <c r="K24">
        <v>364.51924300000002</v>
      </c>
      <c r="L24">
        <v>34.155366000000001</v>
      </c>
      <c r="M24">
        <v>36.465186000000003</v>
      </c>
      <c r="N24">
        <v>103.98892600000001</v>
      </c>
    </row>
    <row r="25" spans="1:14" x14ac:dyDescent="0.3">
      <c r="A25" t="s">
        <v>18</v>
      </c>
      <c r="B25" t="s">
        <v>29</v>
      </c>
      <c r="C25">
        <v>44.159300000000002</v>
      </c>
      <c r="D25">
        <v>53.874268999999998</v>
      </c>
      <c r="E25">
        <v>85.714498000000006</v>
      </c>
      <c r="F25">
        <v>27.068470000000001</v>
      </c>
      <c r="G25">
        <v>24.750826</v>
      </c>
      <c r="H25">
        <v>16.100259999999999</v>
      </c>
      <c r="I25">
        <v>0</v>
      </c>
      <c r="J25">
        <v>0</v>
      </c>
      <c r="K25">
        <v>0</v>
      </c>
      <c r="L25">
        <v>17.09083</v>
      </c>
      <c r="M25">
        <v>100</v>
      </c>
      <c r="N25">
        <v>195.969582</v>
      </c>
    </row>
    <row r="26" spans="1:14" x14ac:dyDescent="0.3">
      <c r="A26" t="s">
        <v>18</v>
      </c>
      <c r="B26" t="s">
        <v>28</v>
      </c>
      <c r="C26">
        <v>26.352419999999999</v>
      </c>
      <c r="D26">
        <v>87.602770000000007</v>
      </c>
      <c r="E26">
        <v>188.05609200000001</v>
      </c>
      <c r="F26">
        <v>18.734549999999999</v>
      </c>
      <c r="G26">
        <v>82.561790999999999</v>
      </c>
      <c r="H26">
        <v>136.93033500000001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>
        <v>313.78914500000002</v>
      </c>
    </row>
    <row r="27" spans="1:14" x14ac:dyDescent="0.3">
      <c r="A27" t="s">
        <v>18</v>
      </c>
      <c r="B27" t="s">
        <v>27</v>
      </c>
      <c r="C27">
        <v>1.37738</v>
      </c>
      <c r="D27">
        <v>96.216729999999998</v>
      </c>
      <c r="E27">
        <v>429.75392199999999</v>
      </c>
      <c r="F27">
        <v>0.92057</v>
      </c>
      <c r="G27">
        <v>94.339376999999999</v>
      </c>
      <c r="H27">
        <v>362.35285800000003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>
        <v>565.581501</v>
      </c>
    </row>
    <row r="28" spans="1:14" x14ac:dyDescent="0.3">
      <c r="A28" t="s">
        <v>18</v>
      </c>
      <c r="B28" t="s">
        <v>26</v>
      </c>
      <c r="C28">
        <v>3.4549999999999997E-2</v>
      </c>
      <c r="D28">
        <v>100</v>
      </c>
      <c r="E28">
        <v>501.40832999999998</v>
      </c>
      <c r="F28">
        <v>2E-3</v>
      </c>
      <c r="G28">
        <v>100</v>
      </c>
      <c r="H28">
        <v>359.85937799999999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>
        <v>510.10565400000002</v>
      </c>
    </row>
    <row r="29" spans="1:14" x14ac:dyDescent="0.3">
      <c r="A29" t="s">
        <v>18</v>
      </c>
      <c r="B29" t="s">
        <v>25</v>
      </c>
      <c r="C29">
        <v>2.9764879999999998</v>
      </c>
      <c r="D29">
        <v>72.057580000000002</v>
      </c>
      <c r="E29">
        <v>501.84362199999998</v>
      </c>
      <c r="F29">
        <v>2.016947</v>
      </c>
      <c r="G29">
        <v>85.586674000000002</v>
      </c>
      <c r="H29">
        <v>631.216318</v>
      </c>
      <c r="I29">
        <v>0.40108300000000002</v>
      </c>
      <c r="J29">
        <v>19.385743000000002</v>
      </c>
      <c r="K29">
        <v>121.132795</v>
      </c>
      <c r="L29">
        <v>0.55845699999999998</v>
      </c>
      <c r="M29">
        <v>61.024158</v>
      </c>
      <c r="N29">
        <v>308.02168999999998</v>
      </c>
    </row>
    <row r="30" spans="1:14" x14ac:dyDescent="0.3">
      <c r="A30" t="s">
        <v>18</v>
      </c>
      <c r="B30" t="s">
        <v>24</v>
      </c>
      <c r="C30">
        <v>95.928974999999994</v>
      </c>
      <c r="D30">
        <v>41.128059</v>
      </c>
      <c r="E30">
        <v>91.940558999999993</v>
      </c>
      <c r="F30">
        <v>94.397018000000003</v>
      </c>
      <c r="G30">
        <v>40.872692000000001</v>
      </c>
      <c r="H30">
        <v>90.620294000000001</v>
      </c>
      <c r="I30">
        <v>0</v>
      </c>
      <c r="J30">
        <v>0</v>
      </c>
      <c r="K30">
        <v>0</v>
      </c>
      <c r="L30">
        <v>1.531957</v>
      </c>
      <c r="M30">
        <v>56.863368999999999</v>
      </c>
      <c r="N30">
        <v>173.29344499999999</v>
      </c>
    </row>
    <row r="31" spans="1:14" x14ac:dyDescent="0.3">
      <c r="A31" t="s">
        <v>18</v>
      </c>
      <c r="B31" t="s">
        <v>23</v>
      </c>
      <c r="C31">
        <v>42.007702999999999</v>
      </c>
      <c r="D31">
        <v>65.351894000000001</v>
      </c>
      <c r="E31">
        <v>119.12853699999999</v>
      </c>
      <c r="F31">
        <v>22.885097999999999</v>
      </c>
      <c r="G31">
        <v>36.400212000000003</v>
      </c>
      <c r="H31">
        <v>66.851258999999999</v>
      </c>
      <c r="I31">
        <v>0</v>
      </c>
      <c r="J31">
        <v>0</v>
      </c>
      <c r="K31">
        <v>0</v>
      </c>
      <c r="L31">
        <v>19.122606000000001</v>
      </c>
      <c r="M31">
        <v>100</v>
      </c>
      <c r="N31">
        <v>181.69169500000001</v>
      </c>
    </row>
    <row r="32" spans="1:14" x14ac:dyDescent="0.3">
      <c r="A32" t="s">
        <v>18</v>
      </c>
      <c r="B32" t="s">
        <v>22</v>
      </c>
      <c r="C32">
        <v>109.33327800000001</v>
      </c>
      <c r="D32">
        <v>80.620538999999994</v>
      </c>
      <c r="E32">
        <v>208.90667500000001</v>
      </c>
      <c r="F32">
        <v>71.566817999999998</v>
      </c>
      <c r="G32">
        <v>70.393821000000003</v>
      </c>
      <c r="H32">
        <v>119.29264999999999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>
        <v>378.723771</v>
      </c>
    </row>
    <row r="33" spans="1:14" x14ac:dyDescent="0.3">
      <c r="A33" t="s">
        <v>18</v>
      </c>
      <c r="B33" t="s">
        <v>21</v>
      </c>
      <c r="C33">
        <v>26.799309999999998</v>
      </c>
      <c r="D33">
        <v>76.473535999999996</v>
      </c>
      <c r="E33">
        <v>151.538611</v>
      </c>
      <c r="F33">
        <v>20.655619999999999</v>
      </c>
      <c r="G33">
        <v>69.477895000000004</v>
      </c>
      <c r="H33">
        <v>106.930482</v>
      </c>
      <c r="I33">
        <v>0</v>
      </c>
      <c r="J33">
        <v>0</v>
      </c>
      <c r="K33">
        <v>0</v>
      </c>
      <c r="L33">
        <v>6.1436900000000003</v>
      </c>
      <c r="M33">
        <v>99.993488999999997</v>
      </c>
      <c r="N33">
        <v>301.515019</v>
      </c>
    </row>
    <row r="34" spans="1:14" x14ac:dyDescent="0.3">
      <c r="A34" t="s">
        <v>18</v>
      </c>
      <c r="B34" t="s">
        <v>20</v>
      </c>
      <c r="C34">
        <v>14.066174</v>
      </c>
      <c r="D34">
        <v>49.979719000000003</v>
      </c>
      <c r="E34">
        <v>155.87356600000001</v>
      </c>
      <c r="F34">
        <v>10.980017</v>
      </c>
      <c r="G34">
        <v>35.930518999999997</v>
      </c>
      <c r="H34">
        <v>79.916276999999994</v>
      </c>
      <c r="I34">
        <v>0</v>
      </c>
      <c r="J34">
        <v>0</v>
      </c>
      <c r="K34">
        <v>0</v>
      </c>
      <c r="L34">
        <v>3.086157</v>
      </c>
      <c r="M34">
        <v>99.964357000000007</v>
      </c>
      <c r="N34">
        <v>426.11655000000002</v>
      </c>
    </row>
    <row r="35" spans="1:14" x14ac:dyDescent="0.3">
      <c r="A35" t="s">
        <v>18</v>
      </c>
      <c r="B35" t="s">
        <v>19</v>
      </c>
      <c r="C35">
        <v>251.921649</v>
      </c>
      <c r="D35">
        <v>85.677633999999998</v>
      </c>
      <c r="E35">
        <v>253.15544199999999</v>
      </c>
      <c r="F35">
        <v>91.482399999999998</v>
      </c>
      <c r="G35">
        <v>60.559474000000002</v>
      </c>
      <c r="H35">
        <v>171.12794700000001</v>
      </c>
      <c r="I35">
        <v>0</v>
      </c>
      <c r="J35">
        <v>0</v>
      </c>
      <c r="K35">
        <v>0</v>
      </c>
      <c r="L35">
        <v>160.43924999999999</v>
      </c>
      <c r="M35">
        <v>100</v>
      </c>
      <c r="N35">
        <v>299.92748899999998</v>
      </c>
    </row>
    <row r="36" spans="1:14" x14ac:dyDescent="0.3">
      <c r="A36" t="s">
        <v>18</v>
      </c>
      <c r="B36" t="s">
        <v>17</v>
      </c>
      <c r="C36">
        <v>58.643210000000003</v>
      </c>
      <c r="D36">
        <v>10.482237</v>
      </c>
      <c r="E36">
        <v>9.1408719999999999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58.643210000000003</v>
      </c>
      <c r="M36">
        <v>10.482237</v>
      </c>
      <c r="N36">
        <v>9.1408719999999999</v>
      </c>
    </row>
    <row r="37" spans="1:14" x14ac:dyDescent="0.3">
      <c r="A37" t="s">
        <v>16</v>
      </c>
      <c r="C37">
        <v>1445.568767</v>
      </c>
      <c r="D37">
        <v>58.585622999999998</v>
      </c>
      <c r="E37">
        <v>164.89720399999999</v>
      </c>
      <c r="F37">
        <v>927.81458199999997</v>
      </c>
      <c r="G37">
        <v>48.398293000000002</v>
      </c>
      <c r="H37">
        <v>129.636335</v>
      </c>
      <c r="I37">
        <v>8.2177690000000005</v>
      </c>
      <c r="J37">
        <v>8.3609159999999996</v>
      </c>
      <c r="K37">
        <v>27.642768</v>
      </c>
      <c r="L37">
        <v>509.53641499999998</v>
      </c>
      <c r="M37">
        <v>77.945747999999995</v>
      </c>
      <c r="N37">
        <v>231.31733199999999</v>
      </c>
    </row>
    <row r="38" spans="1:14" x14ac:dyDescent="0.3">
      <c r="A38" t="s">
        <v>3</v>
      </c>
      <c r="B38" t="s">
        <v>15</v>
      </c>
      <c r="C38">
        <v>19.970838000000001</v>
      </c>
      <c r="D38">
        <v>87.192600999999996</v>
      </c>
      <c r="E38">
        <v>288.03482000000002</v>
      </c>
      <c r="F38">
        <v>7.4283419999999998</v>
      </c>
      <c r="G38">
        <v>65.567755000000005</v>
      </c>
      <c r="H38">
        <v>108.233681</v>
      </c>
      <c r="I38">
        <v>0</v>
      </c>
      <c r="J38">
        <v>0</v>
      </c>
      <c r="K38">
        <v>0</v>
      </c>
      <c r="L38">
        <v>12.542496</v>
      </c>
      <c r="M38">
        <v>100</v>
      </c>
      <c r="N38">
        <v>394.52274599999998</v>
      </c>
    </row>
    <row r="39" spans="1:14" x14ac:dyDescent="0.3">
      <c r="A39" t="s">
        <v>3</v>
      </c>
      <c r="B39" t="s">
        <v>14</v>
      </c>
      <c r="C39">
        <v>66.500259999999997</v>
      </c>
      <c r="D39">
        <v>98.962003999999993</v>
      </c>
      <c r="E39">
        <v>331.99815799999999</v>
      </c>
      <c r="F39">
        <v>59.627850000000002</v>
      </c>
      <c r="G39">
        <v>98.842370000000003</v>
      </c>
      <c r="H39">
        <v>318.876239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>
        <v>445.84931999999998</v>
      </c>
    </row>
    <row r="40" spans="1:14" x14ac:dyDescent="0.3">
      <c r="A40" t="s">
        <v>3</v>
      </c>
      <c r="B40" t="s">
        <v>13</v>
      </c>
      <c r="C40">
        <v>37.044150999999999</v>
      </c>
      <c r="D40">
        <v>65.791185999999996</v>
      </c>
      <c r="E40">
        <v>143.827293</v>
      </c>
      <c r="F40">
        <v>22.629581999999999</v>
      </c>
      <c r="G40">
        <v>44.000889000000001</v>
      </c>
      <c r="H40">
        <v>79.124453000000003</v>
      </c>
      <c r="I40">
        <v>0</v>
      </c>
      <c r="J40">
        <v>0</v>
      </c>
      <c r="K40">
        <v>0</v>
      </c>
      <c r="L40">
        <v>14.414569</v>
      </c>
      <c r="M40">
        <v>100</v>
      </c>
      <c r="N40">
        <v>245.404956</v>
      </c>
    </row>
    <row r="41" spans="1:14" x14ac:dyDescent="0.3">
      <c r="A41" t="s">
        <v>3</v>
      </c>
      <c r="B41" t="s">
        <v>12</v>
      </c>
      <c r="C41">
        <v>4.703036</v>
      </c>
      <c r="D41">
        <v>53.278393999999999</v>
      </c>
      <c r="E41">
        <v>91.908090999999999</v>
      </c>
      <c r="F41">
        <v>3.9760390000000001</v>
      </c>
      <c r="G41">
        <v>44.735610000000001</v>
      </c>
      <c r="H41">
        <v>57.299002999999999</v>
      </c>
      <c r="I41">
        <v>0</v>
      </c>
      <c r="J41">
        <v>0</v>
      </c>
      <c r="K41">
        <v>0</v>
      </c>
      <c r="L41">
        <v>0.726997</v>
      </c>
      <c r="M41">
        <v>100</v>
      </c>
      <c r="N41">
        <v>281.18973299999999</v>
      </c>
    </row>
    <row r="42" spans="1:14" x14ac:dyDescent="0.3">
      <c r="A42" t="s">
        <v>3</v>
      </c>
      <c r="B42" t="s">
        <v>11</v>
      </c>
      <c r="C42">
        <v>16.892092000000002</v>
      </c>
      <c r="D42">
        <v>59.196947999999999</v>
      </c>
      <c r="E42">
        <v>118.639668</v>
      </c>
      <c r="F42">
        <v>8.3265480000000007</v>
      </c>
      <c r="G42">
        <v>17.222729000000001</v>
      </c>
      <c r="H42">
        <v>10.941252</v>
      </c>
      <c r="I42">
        <v>0</v>
      </c>
      <c r="J42">
        <v>0</v>
      </c>
      <c r="K42">
        <v>0</v>
      </c>
      <c r="L42">
        <v>8.5655439999999992</v>
      </c>
      <c r="M42">
        <v>100</v>
      </c>
      <c r="N42">
        <v>223.333078</v>
      </c>
    </row>
    <row r="43" spans="1:14" x14ac:dyDescent="0.3">
      <c r="A43" t="s">
        <v>3</v>
      </c>
      <c r="B43" t="s">
        <v>10</v>
      </c>
      <c r="C43">
        <v>3.7738299999999998</v>
      </c>
      <c r="D43">
        <v>93.832791</v>
      </c>
      <c r="E43">
        <v>265.81840799999998</v>
      </c>
      <c r="F43">
        <v>1.8271599999999999</v>
      </c>
      <c r="G43">
        <v>87.262198999999995</v>
      </c>
      <c r="H43">
        <v>119.278634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>
        <v>403.36180899999999</v>
      </c>
    </row>
    <row r="44" spans="1:14" x14ac:dyDescent="0.3">
      <c r="A44" t="s">
        <v>3</v>
      </c>
      <c r="B44" t="s">
        <v>9</v>
      </c>
      <c r="C44">
        <v>9.0587280000000003</v>
      </c>
      <c r="D44">
        <v>44.719788000000001</v>
      </c>
      <c r="E44">
        <v>90.200194999999994</v>
      </c>
      <c r="F44">
        <v>6.0905389999999997</v>
      </c>
      <c r="G44">
        <v>17.77929</v>
      </c>
      <c r="H44">
        <v>13.634869999999999</v>
      </c>
      <c r="I44">
        <v>0</v>
      </c>
      <c r="J44">
        <v>0</v>
      </c>
      <c r="K44">
        <v>0</v>
      </c>
      <c r="L44">
        <v>2.9681899999999999</v>
      </c>
      <c r="M44">
        <v>100</v>
      </c>
      <c r="N44">
        <v>247.30744100000001</v>
      </c>
    </row>
    <row r="45" spans="1:14" x14ac:dyDescent="0.3">
      <c r="A45" t="s">
        <v>3</v>
      </c>
      <c r="B45" t="s">
        <v>8</v>
      </c>
      <c r="C45">
        <v>303.44588199999998</v>
      </c>
      <c r="D45">
        <v>3.5933549999999999</v>
      </c>
      <c r="E45">
        <v>3.0827939999999998</v>
      </c>
      <c r="F45">
        <v>124.62925</v>
      </c>
      <c r="G45">
        <v>6.2860899999999997</v>
      </c>
      <c r="H45">
        <v>5.415896</v>
      </c>
      <c r="I45">
        <v>23.593050000000002</v>
      </c>
      <c r="J45">
        <v>8.9795569999999998</v>
      </c>
      <c r="K45">
        <v>8.2025419999999993</v>
      </c>
      <c r="L45">
        <v>155.22358199999999</v>
      </c>
      <c r="M45">
        <v>0.61268299999999998</v>
      </c>
      <c r="N45">
        <v>0.43137199999999998</v>
      </c>
    </row>
    <row r="46" spans="1:14" x14ac:dyDescent="0.3">
      <c r="A46" t="s">
        <v>3</v>
      </c>
      <c r="B46" t="s">
        <v>7</v>
      </c>
      <c r="C46">
        <v>643.11932999999999</v>
      </c>
      <c r="D46">
        <v>34.111567999999998</v>
      </c>
      <c r="E46">
        <v>33.642674</v>
      </c>
      <c r="F46">
        <v>518.69763999999998</v>
      </c>
      <c r="G46">
        <v>31.347926999999999</v>
      </c>
      <c r="H46">
        <v>29.866002000000002</v>
      </c>
      <c r="I46">
        <v>0</v>
      </c>
      <c r="J46">
        <v>0</v>
      </c>
      <c r="K46">
        <v>0</v>
      </c>
      <c r="L46">
        <v>124.42169</v>
      </c>
      <c r="M46">
        <v>45.632823000000002</v>
      </c>
      <c r="N46">
        <v>49.387121</v>
      </c>
    </row>
    <row r="47" spans="1:14" x14ac:dyDescent="0.3">
      <c r="A47" t="s">
        <v>3</v>
      </c>
      <c r="B47" t="s">
        <v>6</v>
      </c>
      <c r="C47">
        <v>33.064343999999998</v>
      </c>
      <c r="D47">
        <v>77.005283000000006</v>
      </c>
      <c r="E47">
        <v>243.83884699999999</v>
      </c>
      <c r="F47">
        <v>19.799917000000001</v>
      </c>
      <c r="G47">
        <v>61.600585000000002</v>
      </c>
      <c r="H47">
        <v>99.110173000000003</v>
      </c>
      <c r="I47">
        <v>0</v>
      </c>
      <c r="J47">
        <v>0</v>
      </c>
      <c r="K47">
        <v>0</v>
      </c>
      <c r="L47">
        <v>13.264427</v>
      </c>
      <c r="M47">
        <v>100</v>
      </c>
      <c r="N47">
        <v>459.87651599999998</v>
      </c>
    </row>
    <row r="48" spans="1:14" x14ac:dyDescent="0.3">
      <c r="A48" t="s">
        <v>3</v>
      </c>
      <c r="B48" t="s">
        <v>5</v>
      </c>
      <c r="C48">
        <v>24.247599999999998</v>
      </c>
      <c r="D48">
        <v>37.207805999999998</v>
      </c>
      <c r="E48">
        <v>138.94370000000001</v>
      </c>
      <c r="F48">
        <v>10.4964</v>
      </c>
      <c r="G48">
        <v>54.056629000000001</v>
      </c>
      <c r="H48">
        <v>228.974841</v>
      </c>
      <c r="I48">
        <v>0.1326</v>
      </c>
      <c r="J48">
        <v>31.825037999999999</v>
      </c>
      <c r="K48">
        <v>49.034382999999998</v>
      </c>
      <c r="L48">
        <v>13.618600000000001</v>
      </c>
      <c r="M48">
        <v>24.274153999999999</v>
      </c>
      <c r="N48">
        <v>70.428516000000002</v>
      </c>
    </row>
    <row r="49" spans="1:14" x14ac:dyDescent="0.3">
      <c r="A49" t="s">
        <v>3</v>
      </c>
      <c r="B49" t="s">
        <v>4</v>
      </c>
      <c r="C49">
        <v>97.773409999999998</v>
      </c>
      <c r="D49">
        <v>99.309320999999997</v>
      </c>
      <c r="E49">
        <v>307.32088900000002</v>
      </c>
      <c r="F49">
        <v>74.459490000000002</v>
      </c>
      <c r="G49">
        <v>99.093063999999998</v>
      </c>
      <c r="H49">
        <v>286.35156999999998</v>
      </c>
      <c r="I49">
        <v>0</v>
      </c>
      <c r="J49">
        <v>0</v>
      </c>
      <c r="K49">
        <v>0</v>
      </c>
      <c r="L49">
        <v>23.31392</v>
      </c>
      <c r="M49">
        <v>100</v>
      </c>
      <c r="N49">
        <v>374.29224399999998</v>
      </c>
    </row>
    <row r="50" spans="1:14" x14ac:dyDescent="0.3">
      <c r="A50" t="s">
        <v>3</v>
      </c>
      <c r="B50" t="s">
        <v>2</v>
      </c>
      <c r="C50">
        <v>71.069734999999994</v>
      </c>
      <c r="D50">
        <v>6.8628119999999999</v>
      </c>
      <c r="E50">
        <v>10.030036000000001</v>
      </c>
      <c r="F50">
        <v>19.14141</v>
      </c>
      <c r="G50">
        <v>19.419467999999998</v>
      </c>
      <c r="H50">
        <v>29.001847999999999</v>
      </c>
      <c r="I50">
        <v>0.71511499999999995</v>
      </c>
      <c r="J50">
        <v>0.40301199999999998</v>
      </c>
      <c r="K50">
        <v>0.14523900000000001</v>
      </c>
      <c r="L50">
        <v>51.213209999999997</v>
      </c>
      <c r="M50">
        <v>2.2598470000000002</v>
      </c>
      <c r="N50">
        <v>3.0771730000000002</v>
      </c>
    </row>
    <row r="51" spans="1:14" x14ac:dyDescent="0.3">
      <c r="A51" t="s">
        <v>1</v>
      </c>
      <c r="C51">
        <v>1330.663237</v>
      </c>
      <c r="D51">
        <v>37.156889999999997</v>
      </c>
      <c r="E51">
        <v>76.787702999999993</v>
      </c>
      <c r="F51">
        <v>877.13016800000003</v>
      </c>
      <c r="G51">
        <v>39.385593</v>
      </c>
      <c r="H51">
        <v>73.691778999999997</v>
      </c>
      <c r="I51">
        <v>24.440764999999999</v>
      </c>
      <c r="J51">
        <v>8.8525600000000004</v>
      </c>
      <c r="K51">
        <v>8.1883199999999992</v>
      </c>
      <c r="L51">
        <v>429.09230400000001</v>
      </c>
      <c r="M51">
        <v>34.213273000000001</v>
      </c>
      <c r="N51">
        <v>87.023612999999997</v>
      </c>
    </row>
    <row r="52" spans="1:14" x14ac:dyDescent="0.3">
      <c r="A52" t="s">
        <v>0</v>
      </c>
      <c r="C52">
        <v>2776.2320030000001</v>
      </c>
      <c r="D52">
        <v>48.314714000000002</v>
      </c>
      <c r="E52">
        <v>122.665837</v>
      </c>
      <c r="F52">
        <v>1804.9447500000001</v>
      </c>
      <c r="G52">
        <v>44.018484999999998</v>
      </c>
      <c r="H52">
        <v>102.44954300000001</v>
      </c>
      <c r="I52">
        <v>32.658534000000003</v>
      </c>
      <c r="J52">
        <v>8.7288490000000003</v>
      </c>
      <c r="K52">
        <v>13.083584999999999</v>
      </c>
      <c r="L52">
        <v>938.62871900000005</v>
      </c>
      <c r="M52">
        <v>57.953530999999998</v>
      </c>
      <c r="N52">
        <v>165.353737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EDD4-52AF-4D19-9E8D-EC5D484A5E7B}">
  <dimension ref="A2:N52"/>
  <sheetViews>
    <sheetView workbookViewId="0"/>
  </sheetViews>
  <sheetFormatPr defaultRowHeight="14.4" x14ac:dyDescent="0.3"/>
  <sheetData>
    <row r="2" spans="1:14" x14ac:dyDescent="0.3">
      <c r="A2" t="s">
        <v>62</v>
      </c>
    </row>
    <row r="3" spans="1:14" x14ac:dyDescent="0.3">
      <c r="A3" t="s">
        <v>65</v>
      </c>
    </row>
    <row r="4" spans="1:14" x14ac:dyDescent="0.3">
      <c r="A4" t="s">
        <v>60</v>
      </c>
    </row>
    <row r="5" spans="1:14" x14ac:dyDescent="0.3">
      <c r="A5" t="s">
        <v>59</v>
      </c>
    </row>
    <row r="6" spans="1:14" x14ac:dyDescent="0.3">
      <c r="A6" t="s">
        <v>58</v>
      </c>
    </row>
    <row r="7" spans="1:14" x14ac:dyDescent="0.3">
      <c r="A7" t="s">
        <v>57</v>
      </c>
    </row>
    <row r="9" spans="1:14" x14ac:dyDescent="0.3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3">
      <c r="A10" t="s">
        <v>18</v>
      </c>
      <c r="B10" t="s">
        <v>44</v>
      </c>
      <c r="C10">
        <v>50.48854</v>
      </c>
      <c r="D10">
        <v>20.347231000000001</v>
      </c>
      <c r="E10">
        <v>38.922198000000002</v>
      </c>
      <c r="F10">
        <v>39.292830000000002</v>
      </c>
      <c r="G10">
        <v>20.571438000000001</v>
      </c>
      <c r="H10">
        <v>44.389164999999998</v>
      </c>
      <c r="I10">
        <v>5.1999999999999995E-4</v>
      </c>
      <c r="J10">
        <v>0</v>
      </c>
      <c r="K10">
        <v>0</v>
      </c>
      <c r="L10">
        <v>11.19519</v>
      </c>
      <c r="M10">
        <v>19.558042</v>
      </c>
      <c r="N10">
        <v>19.719584999999999</v>
      </c>
    </row>
    <row r="11" spans="1:14" x14ac:dyDescent="0.3">
      <c r="A11" t="s">
        <v>18</v>
      </c>
      <c r="B11" t="s">
        <v>43</v>
      </c>
      <c r="C11">
        <v>15.55151</v>
      </c>
      <c r="D11">
        <v>43.555126999999999</v>
      </c>
      <c r="E11">
        <v>352.18714699999998</v>
      </c>
      <c r="F11">
        <v>12.818580000000001</v>
      </c>
      <c r="G11">
        <v>47.870513000000003</v>
      </c>
      <c r="H11">
        <v>406.30485199999998</v>
      </c>
      <c r="I11">
        <v>0.13514999999999999</v>
      </c>
      <c r="J11">
        <v>9.5745470000000008</v>
      </c>
      <c r="K11">
        <v>20.436087000000001</v>
      </c>
      <c r="L11">
        <v>2.5977800000000002</v>
      </c>
      <c r="M11">
        <v>24.028979</v>
      </c>
      <c r="N11">
        <v>102.406189</v>
      </c>
    </row>
    <row r="12" spans="1:14" x14ac:dyDescent="0.3">
      <c r="A12" t="s">
        <v>18</v>
      </c>
      <c r="B12" t="s">
        <v>42</v>
      </c>
      <c r="C12">
        <v>54.322257</v>
      </c>
      <c r="D12">
        <v>42.145924000000001</v>
      </c>
      <c r="E12">
        <v>86.982094000000004</v>
      </c>
      <c r="F12">
        <v>37.227128</v>
      </c>
      <c r="G12">
        <v>15.578661</v>
      </c>
      <c r="H12">
        <v>10.400845</v>
      </c>
      <c r="I12">
        <v>0</v>
      </c>
      <c r="J12">
        <v>0</v>
      </c>
      <c r="K12">
        <v>0</v>
      </c>
      <c r="L12">
        <v>17.095129</v>
      </c>
      <c r="M12">
        <v>100</v>
      </c>
      <c r="N12">
        <v>253.748898</v>
      </c>
    </row>
    <row r="13" spans="1:14" x14ac:dyDescent="0.3">
      <c r="A13" t="s">
        <v>18</v>
      </c>
      <c r="B13" t="s">
        <v>41</v>
      </c>
      <c r="C13">
        <v>36.410994000000002</v>
      </c>
      <c r="D13">
        <v>66.189237000000006</v>
      </c>
      <c r="E13">
        <v>180.07262399999999</v>
      </c>
      <c r="F13">
        <v>19.764983000000001</v>
      </c>
      <c r="G13">
        <v>37.713911000000003</v>
      </c>
      <c r="H13">
        <v>51.228915000000001</v>
      </c>
      <c r="I13">
        <v>0</v>
      </c>
      <c r="J13">
        <v>0</v>
      </c>
      <c r="K13">
        <v>0</v>
      </c>
      <c r="L13">
        <v>16.646011000000001</v>
      </c>
      <c r="M13">
        <v>100</v>
      </c>
      <c r="N13">
        <v>333.05784899999998</v>
      </c>
    </row>
    <row r="14" spans="1:14" x14ac:dyDescent="0.3">
      <c r="A14" t="s">
        <v>18</v>
      </c>
      <c r="B14" t="s">
        <v>40</v>
      </c>
      <c r="C14">
        <v>1.69143</v>
      </c>
      <c r="D14">
        <v>100</v>
      </c>
      <c r="E14">
        <v>305.29471000000001</v>
      </c>
      <c r="F14">
        <v>0.65830999999999995</v>
      </c>
      <c r="G14">
        <v>100</v>
      </c>
      <c r="H14">
        <v>331.04621800000001</v>
      </c>
      <c r="I14">
        <v>0</v>
      </c>
      <c r="J14">
        <v>0</v>
      </c>
      <c r="K14">
        <v>0</v>
      </c>
      <c r="L14">
        <v>1.03312</v>
      </c>
      <c r="M14">
        <v>100</v>
      </c>
      <c r="N14">
        <v>288.88570099999998</v>
      </c>
    </row>
    <row r="15" spans="1:14" x14ac:dyDescent="0.3">
      <c r="A15" t="s">
        <v>18</v>
      </c>
      <c r="B15" t="s">
        <v>39</v>
      </c>
      <c r="C15">
        <v>23.831250000000001</v>
      </c>
      <c r="D15">
        <v>41.679516999999997</v>
      </c>
      <c r="E15">
        <v>47.745063999999999</v>
      </c>
      <c r="F15">
        <v>23.71875</v>
      </c>
      <c r="G15">
        <v>41.727536000000001</v>
      </c>
      <c r="H15">
        <v>47.774259000000001</v>
      </c>
      <c r="I15">
        <v>0</v>
      </c>
      <c r="J15">
        <v>0</v>
      </c>
      <c r="K15">
        <v>0</v>
      </c>
      <c r="L15">
        <v>0.1125</v>
      </c>
      <c r="M15">
        <v>31.555555999999999</v>
      </c>
      <c r="N15">
        <v>41.589793999999998</v>
      </c>
    </row>
    <row r="16" spans="1:14" x14ac:dyDescent="0.3">
      <c r="A16" t="s">
        <v>18</v>
      </c>
      <c r="B16" t="s">
        <v>38</v>
      </c>
      <c r="C16">
        <v>6.6650200000000002</v>
      </c>
      <c r="D16">
        <v>99.023559000000006</v>
      </c>
      <c r="E16">
        <v>432.50316600000002</v>
      </c>
      <c r="F16">
        <v>3.79548</v>
      </c>
      <c r="G16">
        <v>98.285329000000004</v>
      </c>
      <c r="H16">
        <v>360.403255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>
        <v>527.86819600000001</v>
      </c>
    </row>
    <row r="17" spans="1:14" x14ac:dyDescent="0.3">
      <c r="A17" t="s">
        <v>18</v>
      </c>
      <c r="B17" t="s">
        <v>37</v>
      </c>
      <c r="C17">
        <v>30.592469999999999</v>
      </c>
      <c r="D17">
        <v>24.312256999999999</v>
      </c>
      <c r="E17">
        <v>16.990580000000001</v>
      </c>
      <c r="F17">
        <v>21.647210000000001</v>
      </c>
      <c r="G17">
        <v>8.4029000000000006E-2</v>
      </c>
      <c r="H17">
        <v>3.6302000000000001E-2</v>
      </c>
      <c r="I17">
        <v>0</v>
      </c>
      <c r="J17">
        <v>0</v>
      </c>
      <c r="K17">
        <v>0</v>
      </c>
      <c r="L17">
        <v>8.9452599999999993</v>
      </c>
      <c r="M17">
        <v>82.943703999999997</v>
      </c>
      <c r="N17">
        <v>58.019326</v>
      </c>
    </row>
    <row r="18" spans="1:14" x14ac:dyDescent="0.3">
      <c r="A18" t="s">
        <v>18</v>
      </c>
      <c r="B18" t="s">
        <v>36</v>
      </c>
      <c r="C18">
        <v>41.047379999999997</v>
      </c>
      <c r="D18">
        <v>0.50787700000000002</v>
      </c>
      <c r="E18">
        <v>5.3378000000000002E-2</v>
      </c>
      <c r="F18">
        <v>17.296330000000001</v>
      </c>
      <c r="G18">
        <v>0.15367400000000001</v>
      </c>
      <c r="H18">
        <v>2.2714000000000002E-2</v>
      </c>
      <c r="I18">
        <v>6.7621799999999999</v>
      </c>
      <c r="J18">
        <v>2.689813</v>
      </c>
      <c r="K18">
        <v>0.26591500000000001</v>
      </c>
      <c r="L18">
        <v>16.988869999999999</v>
      </c>
      <c r="M18">
        <v>0</v>
      </c>
      <c r="N18">
        <v>0</v>
      </c>
    </row>
    <row r="19" spans="1:14" x14ac:dyDescent="0.3">
      <c r="A19" t="s">
        <v>18</v>
      </c>
      <c r="B19" t="s">
        <v>35</v>
      </c>
      <c r="C19">
        <v>176.93678</v>
      </c>
      <c r="D19">
        <v>44.657311999999997</v>
      </c>
      <c r="E19">
        <v>85.186870999999996</v>
      </c>
      <c r="F19">
        <v>170.24708000000001</v>
      </c>
      <c r="G19">
        <v>43.818179000000001</v>
      </c>
      <c r="H19">
        <v>86.609525000000005</v>
      </c>
      <c r="I19">
        <v>0</v>
      </c>
      <c r="J19">
        <v>0</v>
      </c>
      <c r="K19">
        <v>0</v>
      </c>
      <c r="L19">
        <v>6.6897000000000002</v>
      </c>
      <c r="M19">
        <v>66.012527000000006</v>
      </c>
      <c r="N19">
        <v>48.981552999999998</v>
      </c>
    </row>
    <row r="20" spans="1:14" x14ac:dyDescent="0.3">
      <c r="A20" t="s">
        <v>18</v>
      </c>
      <c r="B20" t="s">
        <v>34</v>
      </c>
      <c r="C20">
        <v>103.988407</v>
      </c>
      <c r="D20">
        <v>54.519579999999998</v>
      </c>
      <c r="E20">
        <v>242.14215200000001</v>
      </c>
      <c r="F20">
        <v>100.829339</v>
      </c>
      <c r="G20">
        <v>55.221730000000001</v>
      </c>
      <c r="H20">
        <v>243.97322</v>
      </c>
      <c r="I20">
        <v>0.10688300000000001</v>
      </c>
      <c r="J20">
        <v>5.1062830000000003</v>
      </c>
      <c r="K20">
        <v>8.2934409999999996</v>
      </c>
      <c r="L20">
        <v>3.0521859999999998</v>
      </c>
      <c r="M20">
        <v>33.054344</v>
      </c>
      <c r="N20">
        <v>189.841646</v>
      </c>
    </row>
    <row r="21" spans="1:14" x14ac:dyDescent="0.3">
      <c r="A21" t="s">
        <v>18</v>
      </c>
      <c r="B21" t="s">
        <v>33</v>
      </c>
      <c r="C21">
        <v>77.844376999999994</v>
      </c>
      <c r="D21">
        <v>99.880609000000007</v>
      </c>
      <c r="E21">
        <v>271.28217799999999</v>
      </c>
      <c r="F21">
        <v>24.488047999999999</v>
      </c>
      <c r="G21">
        <v>99.620469999999997</v>
      </c>
      <c r="H21">
        <v>254.53089199999999</v>
      </c>
      <c r="I21">
        <v>0</v>
      </c>
      <c r="J21">
        <v>0</v>
      </c>
      <c r="K21">
        <v>0</v>
      </c>
      <c r="L21">
        <v>53.356329000000002</v>
      </c>
      <c r="M21">
        <v>100</v>
      </c>
      <c r="N21">
        <v>278.97023100000001</v>
      </c>
    </row>
    <row r="22" spans="1:14" x14ac:dyDescent="0.3">
      <c r="A22" t="s">
        <v>18</v>
      </c>
      <c r="B22" t="s">
        <v>32</v>
      </c>
      <c r="C22">
        <v>30.007339999999999</v>
      </c>
      <c r="D22">
        <v>67.747857999999994</v>
      </c>
      <c r="E22">
        <v>249.67309299999999</v>
      </c>
      <c r="F22">
        <v>17.34768</v>
      </c>
      <c r="G22">
        <v>44.211503</v>
      </c>
      <c r="H22">
        <v>103.83596900000001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>
        <v>449.51540799999998</v>
      </c>
    </row>
    <row r="23" spans="1:14" x14ac:dyDescent="0.3">
      <c r="A23" t="s">
        <v>18</v>
      </c>
      <c r="B23" t="s">
        <v>31</v>
      </c>
      <c r="C23">
        <v>16.776014</v>
      </c>
      <c r="D23">
        <v>41.911073000000002</v>
      </c>
      <c r="E23">
        <v>105.63258399999999</v>
      </c>
      <c r="F23">
        <v>6.7206710000000003</v>
      </c>
      <c r="G23">
        <v>35.912514999999999</v>
      </c>
      <c r="H23">
        <v>130.783379</v>
      </c>
      <c r="I23">
        <v>0.405416</v>
      </c>
      <c r="J23">
        <v>36.265493999999997</v>
      </c>
      <c r="K23">
        <v>52.010956999999998</v>
      </c>
      <c r="L23">
        <v>9.6499269999999999</v>
      </c>
      <c r="M23">
        <v>46.325940000000003</v>
      </c>
      <c r="N23">
        <v>90.369133000000005</v>
      </c>
    </row>
    <row r="24" spans="1:14" x14ac:dyDescent="0.3">
      <c r="A24" t="s">
        <v>18</v>
      </c>
      <c r="B24" t="s">
        <v>30</v>
      </c>
      <c r="C24">
        <v>105.81456</v>
      </c>
      <c r="D24">
        <v>32.982351999999999</v>
      </c>
      <c r="E24">
        <v>105.728718</v>
      </c>
      <c r="F24">
        <v>71.252656000000002</v>
      </c>
      <c r="G24">
        <v>32.94464</v>
      </c>
      <c r="H24">
        <v>111.885893</v>
      </c>
      <c r="I24">
        <v>0.40653800000000001</v>
      </c>
      <c r="J24">
        <v>58.162731999999998</v>
      </c>
      <c r="K24">
        <v>326.99355000000003</v>
      </c>
      <c r="L24">
        <v>34.155366000000001</v>
      </c>
      <c r="M24">
        <v>32.761313000000001</v>
      </c>
      <c r="N24">
        <v>90.250399999999999</v>
      </c>
    </row>
    <row r="25" spans="1:14" x14ac:dyDescent="0.3">
      <c r="A25" t="s">
        <v>18</v>
      </c>
      <c r="B25" t="s">
        <v>29</v>
      </c>
      <c r="C25">
        <v>44.159300000000002</v>
      </c>
      <c r="D25">
        <v>49.150168000000001</v>
      </c>
      <c r="E25">
        <v>74.106836999999999</v>
      </c>
      <c r="F25">
        <v>27.068470000000001</v>
      </c>
      <c r="G25">
        <v>17.048766000000001</v>
      </c>
      <c r="H25">
        <v>9.8054059999999996</v>
      </c>
      <c r="I25">
        <v>0</v>
      </c>
      <c r="J25">
        <v>0</v>
      </c>
      <c r="K25">
        <v>0</v>
      </c>
      <c r="L25">
        <v>17.09083</v>
      </c>
      <c r="M25">
        <v>99.992394000000004</v>
      </c>
      <c r="N25">
        <v>175.94749300000001</v>
      </c>
    </row>
    <row r="26" spans="1:14" x14ac:dyDescent="0.3">
      <c r="A26" t="s">
        <v>18</v>
      </c>
      <c r="B26" t="s">
        <v>28</v>
      </c>
      <c r="C26">
        <v>26.352419999999999</v>
      </c>
      <c r="D26">
        <v>81.234550999999996</v>
      </c>
      <c r="E26">
        <v>151.84242</v>
      </c>
      <c r="F26">
        <v>18.734549999999999</v>
      </c>
      <c r="G26">
        <v>73.604116000000005</v>
      </c>
      <c r="H26">
        <v>99.422454999999999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>
        <v>280.75830500000001</v>
      </c>
    </row>
    <row r="27" spans="1:14" x14ac:dyDescent="0.3">
      <c r="A27" t="s">
        <v>18</v>
      </c>
      <c r="B27" t="s">
        <v>27</v>
      </c>
      <c r="C27">
        <v>1.37738</v>
      </c>
      <c r="D27">
        <v>95.963351000000003</v>
      </c>
      <c r="E27">
        <v>398.635042</v>
      </c>
      <c r="F27">
        <v>0.92057</v>
      </c>
      <c r="G27">
        <v>93.960263999999995</v>
      </c>
      <c r="H27">
        <v>329.412915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>
        <v>538.13245700000004</v>
      </c>
    </row>
    <row r="28" spans="1:14" x14ac:dyDescent="0.3">
      <c r="A28" t="s">
        <v>18</v>
      </c>
      <c r="B28" t="s">
        <v>26</v>
      </c>
      <c r="C28">
        <v>3.4549999999999997E-2</v>
      </c>
      <c r="D28">
        <v>100</v>
      </c>
      <c r="E28">
        <v>495.88961</v>
      </c>
      <c r="F28">
        <v>2E-3</v>
      </c>
      <c r="G28">
        <v>100</v>
      </c>
      <c r="H28">
        <v>354.33738899999997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>
        <v>504.58713499999999</v>
      </c>
    </row>
    <row r="29" spans="1:14" x14ac:dyDescent="0.3">
      <c r="A29" t="s">
        <v>18</v>
      </c>
      <c r="B29" t="s">
        <v>25</v>
      </c>
      <c r="C29">
        <v>2.9764879999999998</v>
      </c>
      <c r="D29">
        <v>71.741078999999999</v>
      </c>
      <c r="E29">
        <v>487.03101199999998</v>
      </c>
      <c r="F29">
        <v>2.016947</v>
      </c>
      <c r="G29">
        <v>85.441068000000001</v>
      </c>
      <c r="H29">
        <v>612.761077</v>
      </c>
      <c r="I29">
        <v>0.40108300000000002</v>
      </c>
      <c r="J29">
        <v>18.097273999999999</v>
      </c>
      <c r="K29">
        <v>118.08058200000001</v>
      </c>
      <c r="L29">
        <v>0.55845699999999998</v>
      </c>
      <c r="M29">
        <v>60.788518000000003</v>
      </c>
      <c r="N29">
        <v>297.91866299999998</v>
      </c>
    </row>
    <row r="30" spans="1:14" x14ac:dyDescent="0.3">
      <c r="A30" t="s">
        <v>18</v>
      </c>
      <c r="B30" t="s">
        <v>24</v>
      </c>
      <c r="C30">
        <v>95.928974999999994</v>
      </c>
      <c r="D30">
        <v>31.318049999999999</v>
      </c>
      <c r="E30">
        <v>55.957484999999998</v>
      </c>
      <c r="F30">
        <v>94.397018000000003</v>
      </c>
      <c r="G30">
        <v>30.95232</v>
      </c>
      <c r="H30">
        <v>54.662905000000002</v>
      </c>
      <c r="I30">
        <v>0</v>
      </c>
      <c r="J30">
        <v>0</v>
      </c>
      <c r="K30">
        <v>0</v>
      </c>
      <c r="L30">
        <v>1.531957</v>
      </c>
      <c r="M30">
        <v>53.853816999999999</v>
      </c>
      <c r="N30">
        <v>135.727666</v>
      </c>
    </row>
    <row r="31" spans="1:14" x14ac:dyDescent="0.3">
      <c r="A31" t="s">
        <v>18</v>
      </c>
      <c r="B31" t="s">
        <v>23</v>
      </c>
      <c r="C31">
        <v>42.007702999999999</v>
      </c>
      <c r="D31">
        <v>61.793593999999999</v>
      </c>
      <c r="E31">
        <v>93.909817000000004</v>
      </c>
      <c r="F31">
        <v>22.885097999999999</v>
      </c>
      <c r="G31">
        <v>29.871903</v>
      </c>
      <c r="H31">
        <v>42.926513</v>
      </c>
      <c r="I31">
        <v>0</v>
      </c>
      <c r="J31">
        <v>0</v>
      </c>
      <c r="K31">
        <v>0</v>
      </c>
      <c r="L31">
        <v>19.122606000000001</v>
      </c>
      <c r="M31">
        <v>99.996077999999997</v>
      </c>
      <c r="N31">
        <v>154.92440500000001</v>
      </c>
    </row>
    <row r="32" spans="1:14" x14ac:dyDescent="0.3">
      <c r="A32" t="s">
        <v>18</v>
      </c>
      <c r="B32" t="s">
        <v>22</v>
      </c>
      <c r="C32">
        <v>109.33327800000001</v>
      </c>
      <c r="D32">
        <v>74.238046999999995</v>
      </c>
      <c r="E32">
        <v>170.559845</v>
      </c>
      <c r="F32">
        <v>71.566817999999998</v>
      </c>
      <c r="G32">
        <v>60.643230000000003</v>
      </c>
      <c r="H32">
        <v>83.091581000000005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>
        <v>336.31076100000001</v>
      </c>
    </row>
    <row r="33" spans="1:14" x14ac:dyDescent="0.3">
      <c r="A33" t="s">
        <v>18</v>
      </c>
      <c r="B33" t="s">
        <v>21</v>
      </c>
      <c r="C33">
        <v>26.799309999999998</v>
      </c>
      <c r="D33">
        <v>70.110647999999998</v>
      </c>
      <c r="E33">
        <v>119.561939</v>
      </c>
      <c r="F33">
        <v>20.655619999999999</v>
      </c>
      <c r="G33">
        <v>61.222465999999997</v>
      </c>
      <c r="H33">
        <v>75.532257999999999</v>
      </c>
      <c r="I33">
        <v>0</v>
      </c>
      <c r="J33">
        <v>0</v>
      </c>
      <c r="K33">
        <v>0</v>
      </c>
      <c r="L33">
        <v>6.1436900000000003</v>
      </c>
      <c r="M33">
        <v>99.993488999999997</v>
      </c>
      <c r="N33">
        <v>267.59355299999999</v>
      </c>
    </row>
    <row r="34" spans="1:14" x14ac:dyDescent="0.3">
      <c r="A34" t="s">
        <v>18</v>
      </c>
      <c r="B34" t="s">
        <v>20</v>
      </c>
      <c r="C34">
        <v>14.066174</v>
      </c>
      <c r="D34">
        <v>44.886293999999999</v>
      </c>
      <c r="E34">
        <v>131.07767799999999</v>
      </c>
      <c r="F34">
        <v>10.980017</v>
      </c>
      <c r="G34">
        <v>29.405484000000001</v>
      </c>
      <c r="H34">
        <v>59.660862999999999</v>
      </c>
      <c r="I34">
        <v>0</v>
      </c>
      <c r="J34">
        <v>0</v>
      </c>
      <c r="K34">
        <v>0</v>
      </c>
      <c r="L34">
        <v>3.086157</v>
      </c>
      <c r="M34">
        <v>99.964357000000007</v>
      </c>
      <c r="N34">
        <v>385.16643499999998</v>
      </c>
    </row>
    <row r="35" spans="1:14" x14ac:dyDescent="0.3">
      <c r="A35" t="s">
        <v>18</v>
      </c>
      <c r="B35" t="s">
        <v>19</v>
      </c>
      <c r="C35">
        <v>251.921649</v>
      </c>
      <c r="D35">
        <v>82.275841999999997</v>
      </c>
      <c r="E35">
        <v>221.29226199999999</v>
      </c>
      <c r="F35">
        <v>91.482399999999998</v>
      </c>
      <c r="G35">
        <v>51.191715000000002</v>
      </c>
      <c r="H35">
        <v>136.648617</v>
      </c>
      <c r="I35">
        <v>0</v>
      </c>
      <c r="J35">
        <v>0</v>
      </c>
      <c r="K35">
        <v>0</v>
      </c>
      <c r="L35">
        <v>160.43924999999999</v>
      </c>
      <c r="M35">
        <v>100</v>
      </c>
      <c r="N35">
        <v>269.55603600000001</v>
      </c>
    </row>
    <row r="36" spans="1:14" x14ac:dyDescent="0.3">
      <c r="A36" t="s">
        <v>18</v>
      </c>
      <c r="B36" t="s">
        <v>17</v>
      </c>
      <c r="C36">
        <v>58.643210000000003</v>
      </c>
      <c r="D36">
        <v>9.5957570000000008</v>
      </c>
      <c r="E36">
        <v>7.9405250000000001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58.643210000000003</v>
      </c>
      <c r="M36">
        <v>9.5957570000000008</v>
      </c>
      <c r="N36">
        <v>7.9405250000000001</v>
      </c>
    </row>
    <row r="37" spans="1:14" x14ac:dyDescent="0.3">
      <c r="A37" t="s">
        <v>16</v>
      </c>
      <c r="C37">
        <v>1445.568767</v>
      </c>
      <c r="D37">
        <v>54.470255000000002</v>
      </c>
      <c r="E37">
        <v>141.20208199999999</v>
      </c>
      <c r="F37">
        <v>927.81458199999997</v>
      </c>
      <c r="G37">
        <v>42.378098000000001</v>
      </c>
      <c r="H37">
        <v>105.382572</v>
      </c>
      <c r="I37">
        <v>8.2177690000000005</v>
      </c>
      <c r="J37">
        <v>7.9913689999999997</v>
      </c>
      <c r="K37">
        <v>25.190839</v>
      </c>
      <c r="L37">
        <v>509.53641499999998</v>
      </c>
      <c r="M37">
        <v>77.238466000000003</v>
      </c>
      <c r="N37">
        <v>208.296831</v>
      </c>
    </row>
    <row r="38" spans="1:14" x14ac:dyDescent="0.3">
      <c r="A38" t="s">
        <v>3</v>
      </c>
      <c r="B38" t="s">
        <v>15</v>
      </c>
      <c r="C38">
        <v>19.970838000000001</v>
      </c>
      <c r="D38">
        <v>85.674299000000005</v>
      </c>
      <c r="E38">
        <v>270.88198999999997</v>
      </c>
      <c r="F38">
        <v>7.4283419999999998</v>
      </c>
      <c r="G38">
        <v>61.485852999999999</v>
      </c>
      <c r="H38">
        <v>93.218142</v>
      </c>
      <c r="I38">
        <v>0</v>
      </c>
      <c r="J38">
        <v>0</v>
      </c>
      <c r="K38">
        <v>0</v>
      </c>
      <c r="L38">
        <v>12.542496</v>
      </c>
      <c r="M38">
        <v>100</v>
      </c>
      <c r="N38">
        <v>376.10409800000002</v>
      </c>
    </row>
    <row r="39" spans="1:14" x14ac:dyDescent="0.3">
      <c r="A39" t="s">
        <v>3</v>
      </c>
      <c r="B39" t="s">
        <v>14</v>
      </c>
      <c r="C39">
        <v>66.500259999999997</v>
      </c>
      <c r="D39">
        <v>95.776422999999994</v>
      </c>
      <c r="E39">
        <v>229.41636700000001</v>
      </c>
      <c r="F39">
        <v>59.627850000000002</v>
      </c>
      <c r="G39">
        <v>95.289634000000007</v>
      </c>
      <c r="H39">
        <v>213.967129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>
        <v>363.46029399999998</v>
      </c>
    </row>
    <row r="40" spans="1:14" x14ac:dyDescent="0.3">
      <c r="A40" t="s">
        <v>3</v>
      </c>
      <c r="B40" t="s">
        <v>13</v>
      </c>
      <c r="C40">
        <v>37.044150999999999</v>
      </c>
      <c r="D40">
        <v>62.325510000000001</v>
      </c>
      <c r="E40">
        <v>117.956294</v>
      </c>
      <c r="F40">
        <v>22.629581999999999</v>
      </c>
      <c r="G40">
        <v>38.327649999999998</v>
      </c>
      <c r="H40">
        <v>54.854804999999999</v>
      </c>
      <c r="I40">
        <v>0</v>
      </c>
      <c r="J40">
        <v>0</v>
      </c>
      <c r="K40">
        <v>0</v>
      </c>
      <c r="L40">
        <v>14.414569</v>
      </c>
      <c r="M40">
        <v>100</v>
      </c>
      <c r="N40">
        <v>217.01997900000001</v>
      </c>
    </row>
    <row r="41" spans="1:14" x14ac:dyDescent="0.3">
      <c r="A41" t="s">
        <v>3</v>
      </c>
      <c r="B41" t="s">
        <v>12</v>
      </c>
      <c r="C41">
        <v>4.703036</v>
      </c>
      <c r="D41">
        <v>40.395052</v>
      </c>
      <c r="E41">
        <v>78.976567000000003</v>
      </c>
      <c r="F41">
        <v>3.9760390000000001</v>
      </c>
      <c r="G41">
        <v>29.496621000000001</v>
      </c>
      <c r="H41">
        <v>46.361780000000003</v>
      </c>
      <c r="I41">
        <v>0</v>
      </c>
      <c r="J41">
        <v>0</v>
      </c>
      <c r="K41">
        <v>0</v>
      </c>
      <c r="L41">
        <v>0.726997</v>
      </c>
      <c r="M41">
        <v>100</v>
      </c>
      <c r="N41">
        <v>257.35111499999999</v>
      </c>
    </row>
    <row r="42" spans="1:14" x14ac:dyDescent="0.3">
      <c r="A42" t="s">
        <v>3</v>
      </c>
      <c r="B42" t="s">
        <v>11</v>
      </c>
      <c r="C42">
        <v>16.892092000000002</v>
      </c>
      <c r="D42">
        <v>56.102023000000003</v>
      </c>
      <c r="E42">
        <v>107.777379</v>
      </c>
      <c r="F42">
        <v>8.3265480000000007</v>
      </c>
      <c r="G42">
        <v>10.944046999999999</v>
      </c>
      <c r="H42">
        <v>7.4866630000000001</v>
      </c>
      <c r="I42">
        <v>0</v>
      </c>
      <c r="J42">
        <v>0</v>
      </c>
      <c r="K42">
        <v>0</v>
      </c>
      <c r="L42">
        <v>8.5655439999999992</v>
      </c>
      <c r="M42">
        <v>100</v>
      </c>
      <c r="N42">
        <v>205.269778</v>
      </c>
    </row>
    <row r="43" spans="1:14" x14ac:dyDescent="0.3">
      <c r="A43" t="s">
        <v>3</v>
      </c>
      <c r="B43" t="s">
        <v>10</v>
      </c>
      <c r="C43">
        <v>3.7738299999999998</v>
      </c>
      <c r="D43">
        <v>76.891380999999996</v>
      </c>
      <c r="E43">
        <v>197.40170599999999</v>
      </c>
      <c r="F43">
        <v>1.8271599999999999</v>
      </c>
      <c r="G43">
        <v>52.271284000000001</v>
      </c>
      <c r="H43">
        <v>51.984192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>
        <v>333.89174500000001</v>
      </c>
    </row>
    <row r="44" spans="1:14" x14ac:dyDescent="0.3">
      <c r="A44" t="s">
        <v>3</v>
      </c>
      <c r="B44" t="s">
        <v>9</v>
      </c>
      <c r="C44">
        <v>9.0587280000000003</v>
      </c>
      <c r="D44">
        <v>42.966119999999997</v>
      </c>
      <c r="E44">
        <v>82.219742999999994</v>
      </c>
      <c r="F44">
        <v>6.0905389999999997</v>
      </c>
      <c r="G44">
        <v>15.170983</v>
      </c>
      <c r="H44">
        <v>10.150744</v>
      </c>
      <c r="I44">
        <v>0</v>
      </c>
      <c r="J44">
        <v>0</v>
      </c>
      <c r="K44">
        <v>0</v>
      </c>
      <c r="L44">
        <v>2.9681899999999999</v>
      </c>
      <c r="M44">
        <v>100</v>
      </c>
      <c r="N44">
        <v>230.10081199999999</v>
      </c>
    </row>
    <row r="45" spans="1:14" x14ac:dyDescent="0.3">
      <c r="A45" t="s">
        <v>3</v>
      </c>
      <c r="B45" t="s">
        <v>8</v>
      </c>
      <c r="C45">
        <v>303.44588199999998</v>
      </c>
      <c r="D45">
        <v>3.6390069999999999</v>
      </c>
      <c r="E45">
        <v>2.9764949999999999</v>
      </c>
      <c r="F45">
        <v>124.62925</v>
      </c>
      <c r="G45">
        <v>6.2523260000000001</v>
      </c>
      <c r="H45">
        <v>5.1924840000000003</v>
      </c>
      <c r="I45">
        <v>23.593050000000002</v>
      </c>
      <c r="J45">
        <v>9.0575229999999998</v>
      </c>
      <c r="K45">
        <v>7.9659069999999996</v>
      </c>
      <c r="L45">
        <v>155.22358199999999</v>
      </c>
      <c r="M45">
        <v>0.71718800000000005</v>
      </c>
      <c r="N45">
        <v>0.438913</v>
      </c>
    </row>
    <row r="46" spans="1:14" x14ac:dyDescent="0.3">
      <c r="A46" t="s">
        <v>3</v>
      </c>
      <c r="B46" t="s">
        <v>7</v>
      </c>
      <c r="C46">
        <v>643.11932999999999</v>
      </c>
      <c r="D46">
        <v>25.554483000000001</v>
      </c>
      <c r="E46">
        <v>21.688469000000001</v>
      </c>
      <c r="F46">
        <v>518.69763999999998</v>
      </c>
      <c r="G46">
        <v>21.570376</v>
      </c>
      <c r="H46">
        <v>17.160057999999999</v>
      </c>
      <c r="I46">
        <v>0</v>
      </c>
      <c r="J46">
        <v>0</v>
      </c>
      <c r="K46">
        <v>0</v>
      </c>
      <c r="L46">
        <v>124.42169</v>
      </c>
      <c r="M46">
        <v>42.163702000000001</v>
      </c>
      <c r="N46">
        <v>40.566817</v>
      </c>
    </row>
    <row r="47" spans="1:14" x14ac:dyDescent="0.3">
      <c r="A47" t="s">
        <v>3</v>
      </c>
      <c r="B47" t="s">
        <v>6</v>
      </c>
      <c r="C47">
        <v>33.064343999999998</v>
      </c>
      <c r="D47">
        <v>72.829781999999994</v>
      </c>
      <c r="E47">
        <v>217.737945</v>
      </c>
      <c r="F47">
        <v>19.799917000000001</v>
      </c>
      <c r="G47">
        <v>54.627819000000002</v>
      </c>
      <c r="H47">
        <v>78.181224999999998</v>
      </c>
      <c r="I47">
        <v>0</v>
      </c>
      <c r="J47">
        <v>0</v>
      </c>
      <c r="K47">
        <v>0</v>
      </c>
      <c r="L47">
        <v>13.264427</v>
      </c>
      <c r="M47">
        <v>100</v>
      </c>
      <c r="N47">
        <v>426.05539800000003</v>
      </c>
    </row>
    <row r="48" spans="1:14" x14ac:dyDescent="0.3">
      <c r="A48" t="s">
        <v>3</v>
      </c>
      <c r="B48" t="s">
        <v>5</v>
      </c>
      <c r="C48">
        <v>24.247599999999998</v>
      </c>
      <c r="D48">
        <v>35.452581000000002</v>
      </c>
      <c r="E48">
        <v>123.70841299999999</v>
      </c>
      <c r="F48">
        <v>10.4964</v>
      </c>
      <c r="G48">
        <v>51.631034999999997</v>
      </c>
      <c r="H48">
        <v>204.20946599999999</v>
      </c>
      <c r="I48">
        <v>0.1326</v>
      </c>
      <c r="J48">
        <v>31.070889999999999</v>
      </c>
      <c r="K48">
        <v>41.534371</v>
      </c>
      <c r="L48">
        <v>13.618600000000001</v>
      </c>
      <c r="M48">
        <v>23.025862</v>
      </c>
      <c r="N48">
        <v>62.463132000000002</v>
      </c>
    </row>
    <row r="49" spans="1:14" x14ac:dyDescent="0.3">
      <c r="A49" t="s">
        <v>3</v>
      </c>
      <c r="B49" t="s">
        <v>4</v>
      </c>
      <c r="C49">
        <v>97.773409999999998</v>
      </c>
      <c r="D49">
        <v>98.512856999999997</v>
      </c>
      <c r="E49">
        <v>256.09218099999998</v>
      </c>
      <c r="F49">
        <v>74.459490000000002</v>
      </c>
      <c r="G49">
        <v>98.047219999999996</v>
      </c>
      <c r="H49">
        <v>231.817374</v>
      </c>
      <c r="I49">
        <v>0</v>
      </c>
      <c r="J49">
        <v>0</v>
      </c>
      <c r="K49">
        <v>0</v>
      </c>
      <c r="L49">
        <v>23.31392</v>
      </c>
      <c r="M49">
        <v>100</v>
      </c>
      <c r="N49">
        <v>333.62052899999998</v>
      </c>
    </row>
    <row r="50" spans="1:14" x14ac:dyDescent="0.3">
      <c r="A50" t="s">
        <v>3</v>
      </c>
      <c r="B50" t="s">
        <v>2</v>
      </c>
      <c r="C50">
        <v>71.069734999999994</v>
      </c>
      <c r="D50">
        <v>6.3025729999999998</v>
      </c>
      <c r="E50">
        <v>9.1893309999999992</v>
      </c>
      <c r="F50">
        <v>19.14141</v>
      </c>
      <c r="G50">
        <v>17.601628999999999</v>
      </c>
      <c r="H50">
        <v>26.363941000000001</v>
      </c>
      <c r="I50">
        <v>0.71511499999999995</v>
      </c>
      <c r="J50">
        <v>0.36106100000000002</v>
      </c>
      <c r="K50">
        <v>0.11437899999999999</v>
      </c>
      <c r="L50">
        <v>51.213209999999997</v>
      </c>
      <c r="M50">
        <v>2.1624110000000001</v>
      </c>
      <c r="N50">
        <v>2.896881</v>
      </c>
    </row>
    <row r="51" spans="1:14" x14ac:dyDescent="0.3">
      <c r="A51" t="s">
        <v>1</v>
      </c>
      <c r="C51">
        <v>1330.663237</v>
      </c>
      <c r="D51">
        <v>32.384141</v>
      </c>
      <c r="E51">
        <v>59.714525000000002</v>
      </c>
      <c r="F51">
        <v>877.13016800000003</v>
      </c>
      <c r="G51">
        <v>32.641750000000002</v>
      </c>
      <c r="H51">
        <v>52.558661999999998</v>
      </c>
      <c r="I51">
        <v>24.440764999999999</v>
      </c>
      <c r="J51">
        <v>8.9225030000000007</v>
      </c>
      <c r="K51">
        <v>7.9182990000000002</v>
      </c>
      <c r="L51">
        <v>429.09230400000001</v>
      </c>
      <c r="M51">
        <v>33.193905999999998</v>
      </c>
      <c r="N51">
        <v>77.292473999999999</v>
      </c>
    </row>
    <row r="52" spans="1:14" x14ac:dyDescent="0.3">
      <c r="A52" t="s">
        <v>0</v>
      </c>
      <c r="C52">
        <v>2776.2320030000001</v>
      </c>
      <c r="D52">
        <v>43.884259999999998</v>
      </c>
      <c r="E52">
        <v>102.144649</v>
      </c>
      <c r="F52">
        <v>1804.9447500000001</v>
      </c>
      <c r="G52">
        <v>37.646627000000002</v>
      </c>
      <c r="H52">
        <v>79.712288000000001</v>
      </c>
      <c r="I52">
        <v>32.658534000000003</v>
      </c>
      <c r="J52">
        <v>8.688205</v>
      </c>
      <c r="K52">
        <v>12.264537000000001</v>
      </c>
      <c r="L52">
        <v>938.62871900000005</v>
      </c>
      <c r="M52">
        <v>57.103580999999998</v>
      </c>
      <c r="N52">
        <v>148.40844300000001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C1718-8BF3-4953-BA3A-8DFD075FF560}">
  <dimension ref="A2:N52"/>
  <sheetViews>
    <sheetView workbookViewId="0"/>
  </sheetViews>
  <sheetFormatPr defaultRowHeight="14.4" x14ac:dyDescent="0.3"/>
  <sheetData>
    <row r="2" spans="1:14" x14ac:dyDescent="0.3">
      <c r="A2" t="s">
        <v>62</v>
      </c>
    </row>
    <row r="3" spans="1:14" x14ac:dyDescent="0.3">
      <c r="A3" t="s">
        <v>66</v>
      </c>
    </row>
    <row r="4" spans="1:14" x14ac:dyDescent="0.3">
      <c r="A4" t="s">
        <v>60</v>
      </c>
    </row>
    <row r="5" spans="1:14" x14ac:dyDescent="0.3">
      <c r="A5" t="s">
        <v>59</v>
      </c>
    </row>
    <row r="6" spans="1:14" x14ac:dyDescent="0.3">
      <c r="A6" t="s">
        <v>58</v>
      </c>
    </row>
    <row r="7" spans="1:14" x14ac:dyDescent="0.3">
      <c r="A7" t="s">
        <v>57</v>
      </c>
    </row>
    <row r="9" spans="1:14" x14ac:dyDescent="0.3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3">
      <c r="A10" t="s">
        <v>18</v>
      </c>
      <c r="B10" t="s">
        <v>44</v>
      </c>
      <c r="C10">
        <v>50.48854</v>
      </c>
      <c r="D10">
        <v>22.959923</v>
      </c>
      <c r="E10">
        <v>44.264969000000001</v>
      </c>
      <c r="F10">
        <v>39.292830000000002</v>
      </c>
      <c r="G10">
        <v>23.300688999999998</v>
      </c>
      <c r="H10">
        <v>50.398173999999997</v>
      </c>
      <c r="I10">
        <v>5.1999999999999995E-4</v>
      </c>
      <c r="J10">
        <v>0</v>
      </c>
      <c r="K10">
        <v>0</v>
      </c>
      <c r="L10">
        <v>11.19519</v>
      </c>
      <c r="M10">
        <v>21.761756999999999</v>
      </c>
      <c r="N10">
        <v>22.723576999999999</v>
      </c>
    </row>
    <row r="11" spans="1:14" x14ac:dyDescent="0.3">
      <c r="A11" t="s">
        <v>18</v>
      </c>
      <c r="B11" t="s">
        <v>43</v>
      </c>
      <c r="C11">
        <v>15.55151</v>
      </c>
      <c r="D11">
        <v>44.284446000000003</v>
      </c>
      <c r="E11">
        <v>366.38786599999997</v>
      </c>
      <c r="F11">
        <v>12.818580000000001</v>
      </c>
      <c r="G11">
        <v>48.613185000000001</v>
      </c>
      <c r="H11">
        <v>422.22494499999999</v>
      </c>
      <c r="I11">
        <v>0.13514999999999999</v>
      </c>
      <c r="J11">
        <v>9.5745470000000008</v>
      </c>
      <c r="K11">
        <v>23.110500999999999</v>
      </c>
      <c r="L11">
        <v>2.5977800000000002</v>
      </c>
      <c r="M11">
        <v>24.730346999999998</v>
      </c>
      <c r="N11">
        <v>108.722427</v>
      </c>
    </row>
    <row r="12" spans="1:14" x14ac:dyDescent="0.3">
      <c r="A12" t="s">
        <v>18</v>
      </c>
      <c r="B12" t="s">
        <v>42</v>
      </c>
      <c r="C12">
        <v>54.322257</v>
      </c>
      <c r="D12">
        <v>50.516579</v>
      </c>
      <c r="E12">
        <v>101.83558600000001</v>
      </c>
      <c r="F12">
        <v>37.227128</v>
      </c>
      <c r="G12">
        <v>27.793218</v>
      </c>
      <c r="H12">
        <v>19.731634</v>
      </c>
      <c r="I12">
        <v>0</v>
      </c>
      <c r="J12">
        <v>0</v>
      </c>
      <c r="K12">
        <v>0</v>
      </c>
      <c r="L12">
        <v>17.095129</v>
      </c>
      <c r="M12">
        <v>100</v>
      </c>
      <c r="N12">
        <v>280.62887699999999</v>
      </c>
    </row>
    <row r="13" spans="1:14" x14ac:dyDescent="0.3">
      <c r="A13" t="s">
        <v>18</v>
      </c>
      <c r="B13" t="s">
        <v>41</v>
      </c>
      <c r="C13">
        <v>36.410994000000002</v>
      </c>
      <c r="D13">
        <v>73.021197999999998</v>
      </c>
      <c r="E13">
        <v>234.69566499999999</v>
      </c>
      <c r="F13">
        <v>19.764983000000001</v>
      </c>
      <c r="G13">
        <v>50.299728999999999</v>
      </c>
      <c r="H13">
        <v>103.467788</v>
      </c>
      <c r="I13">
        <v>0</v>
      </c>
      <c r="J13">
        <v>0</v>
      </c>
      <c r="K13">
        <v>0</v>
      </c>
      <c r="L13">
        <v>16.646011000000001</v>
      </c>
      <c r="M13">
        <v>100</v>
      </c>
      <c r="N13">
        <v>390.51178199999998</v>
      </c>
    </row>
    <row r="14" spans="1:14" x14ac:dyDescent="0.3">
      <c r="A14" t="s">
        <v>18</v>
      </c>
      <c r="B14" t="s">
        <v>40</v>
      </c>
      <c r="C14">
        <v>1.69143</v>
      </c>
      <c r="D14">
        <v>100</v>
      </c>
      <c r="E14">
        <v>334.48921200000001</v>
      </c>
      <c r="F14">
        <v>0.65830999999999995</v>
      </c>
      <c r="G14">
        <v>100</v>
      </c>
      <c r="H14">
        <v>362.47045000000003</v>
      </c>
      <c r="I14">
        <v>0</v>
      </c>
      <c r="J14">
        <v>0</v>
      </c>
      <c r="K14">
        <v>0</v>
      </c>
      <c r="L14">
        <v>1.03312</v>
      </c>
      <c r="M14">
        <v>100</v>
      </c>
      <c r="N14">
        <v>316.65940599999999</v>
      </c>
    </row>
    <row r="15" spans="1:14" x14ac:dyDescent="0.3">
      <c r="A15" t="s">
        <v>18</v>
      </c>
      <c r="B15" t="s">
        <v>39</v>
      </c>
      <c r="C15">
        <v>23.831250000000001</v>
      </c>
      <c r="D15">
        <v>45.329137000000003</v>
      </c>
      <c r="E15">
        <v>56.771622000000001</v>
      </c>
      <c r="F15">
        <v>23.71875</v>
      </c>
      <c r="G15">
        <v>45.37444</v>
      </c>
      <c r="H15">
        <v>56.817898</v>
      </c>
      <c r="I15">
        <v>0</v>
      </c>
      <c r="J15">
        <v>0</v>
      </c>
      <c r="K15">
        <v>0</v>
      </c>
      <c r="L15">
        <v>0.1125</v>
      </c>
      <c r="M15">
        <v>35.777777999999998</v>
      </c>
      <c r="N15">
        <v>47.015045000000001</v>
      </c>
    </row>
    <row r="16" spans="1:14" x14ac:dyDescent="0.3">
      <c r="A16" t="s">
        <v>18</v>
      </c>
      <c r="B16" t="s">
        <v>38</v>
      </c>
      <c r="C16">
        <v>6.6650200000000002</v>
      </c>
      <c r="D16">
        <v>99.052216000000001</v>
      </c>
      <c r="E16">
        <v>446.49486899999999</v>
      </c>
      <c r="F16">
        <v>3.79548</v>
      </c>
      <c r="G16">
        <v>98.335651999999996</v>
      </c>
      <c r="H16">
        <v>375.73472400000003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>
        <v>540.08781899999997</v>
      </c>
    </row>
    <row r="17" spans="1:14" x14ac:dyDescent="0.3">
      <c r="A17" t="s">
        <v>18</v>
      </c>
      <c r="B17" t="s">
        <v>37</v>
      </c>
      <c r="C17">
        <v>30.592469999999999</v>
      </c>
      <c r="D17">
        <v>25.764249</v>
      </c>
      <c r="E17">
        <v>19.352671000000001</v>
      </c>
      <c r="F17">
        <v>21.647210000000001</v>
      </c>
      <c r="G17">
        <v>0.23910699999999999</v>
      </c>
      <c r="H17">
        <v>5.7280999999999999E-2</v>
      </c>
      <c r="I17">
        <v>0</v>
      </c>
      <c r="J17">
        <v>0</v>
      </c>
      <c r="K17">
        <v>0</v>
      </c>
      <c r="L17">
        <v>8.9452599999999993</v>
      </c>
      <c r="M17">
        <v>87.534180000000006</v>
      </c>
      <c r="N17">
        <v>66.046824999999998</v>
      </c>
    </row>
    <row r="18" spans="1:14" x14ac:dyDescent="0.3">
      <c r="A18" t="s">
        <v>18</v>
      </c>
      <c r="B18" t="s">
        <v>36</v>
      </c>
      <c r="C18">
        <v>41.047379999999997</v>
      </c>
      <c r="D18">
        <v>0.51596500000000001</v>
      </c>
      <c r="E18">
        <v>9.5938999999999997E-2</v>
      </c>
      <c r="F18">
        <v>17.296330000000001</v>
      </c>
      <c r="G18">
        <v>0.16095899999999999</v>
      </c>
      <c r="H18">
        <v>4.1907E-2</v>
      </c>
      <c r="I18">
        <v>6.7621799999999999</v>
      </c>
      <c r="J18">
        <v>2.7202769999999998</v>
      </c>
      <c r="K18">
        <v>0.47517199999999998</v>
      </c>
      <c r="L18">
        <v>16.988869999999999</v>
      </c>
      <c r="M18">
        <v>0</v>
      </c>
      <c r="N18">
        <v>0</v>
      </c>
    </row>
    <row r="19" spans="1:14" x14ac:dyDescent="0.3">
      <c r="A19" t="s">
        <v>18</v>
      </c>
      <c r="B19" t="s">
        <v>35</v>
      </c>
      <c r="C19">
        <v>176.93678</v>
      </c>
      <c r="D19">
        <v>52.949997000000003</v>
      </c>
      <c r="E19">
        <v>129.31727699999999</v>
      </c>
      <c r="F19">
        <v>170.24708000000001</v>
      </c>
      <c r="G19">
        <v>51.949407999999998</v>
      </c>
      <c r="H19">
        <v>130.97324900000001</v>
      </c>
      <c r="I19">
        <v>0</v>
      </c>
      <c r="J19">
        <v>0</v>
      </c>
      <c r="K19">
        <v>0</v>
      </c>
      <c r="L19">
        <v>6.6897000000000002</v>
      </c>
      <c r="M19">
        <v>78.414129000000003</v>
      </c>
      <c r="N19">
        <v>87.174222</v>
      </c>
    </row>
    <row r="20" spans="1:14" x14ac:dyDescent="0.3">
      <c r="A20" t="s">
        <v>18</v>
      </c>
      <c r="B20" t="s">
        <v>34</v>
      </c>
      <c r="C20">
        <v>103.988407</v>
      </c>
      <c r="D20">
        <v>55.955480000000001</v>
      </c>
      <c r="E20">
        <v>258.05462699999998</v>
      </c>
      <c r="F20">
        <v>100.829339</v>
      </c>
      <c r="G20">
        <v>56.640120000000003</v>
      </c>
      <c r="H20">
        <v>260.08721100000002</v>
      </c>
      <c r="I20">
        <v>0.10688300000000001</v>
      </c>
      <c r="J20">
        <v>6.0827140000000002</v>
      </c>
      <c r="K20">
        <v>10.156760999999999</v>
      </c>
      <c r="L20">
        <v>3.0521859999999998</v>
      </c>
      <c r="M20">
        <v>35.084767999999997</v>
      </c>
      <c r="N20">
        <v>199.588978</v>
      </c>
    </row>
    <row r="21" spans="1:14" x14ac:dyDescent="0.3">
      <c r="A21" t="s">
        <v>18</v>
      </c>
      <c r="B21" t="s">
        <v>33</v>
      </c>
      <c r="C21">
        <v>77.844376999999994</v>
      </c>
      <c r="D21">
        <v>99.937813000000006</v>
      </c>
      <c r="E21">
        <v>291.11804899999998</v>
      </c>
      <c r="F21">
        <v>24.488047999999999</v>
      </c>
      <c r="G21">
        <v>99.802313999999996</v>
      </c>
      <c r="H21">
        <v>277.98345799999998</v>
      </c>
      <c r="I21">
        <v>0</v>
      </c>
      <c r="J21">
        <v>0</v>
      </c>
      <c r="K21">
        <v>0</v>
      </c>
      <c r="L21">
        <v>53.356329000000002</v>
      </c>
      <c r="M21">
        <v>100</v>
      </c>
      <c r="N21">
        <v>297.146208</v>
      </c>
    </row>
    <row r="22" spans="1:14" x14ac:dyDescent="0.3">
      <c r="A22" t="s">
        <v>18</v>
      </c>
      <c r="B22" t="s">
        <v>32</v>
      </c>
      <c r="C22">
        <v>30.007339999999999</v>
      </c>
      <c r="D22">
        <v>68.540296999999995</v>
      </c>
      <c r="E22">
        <v>286.60157299999997</v>
      </c>
      <c r="F22">
        <v>17.34768</v>
      </c>
      <c r="G22">
        <v>45.582233000000002</v>
      </c>
      <c r="H22">
        <v>132.92658599999999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>
        <v>497.18420400000002</v>
      </c>
    </row>
    <row r="23" spans="1:14" x14ac:dyDescent="0.3">
      <c r="A23" t="s">
        <v>18</v>
      </c>
      <c r="B23" t="s">
        <v>31</v>
      </c>
      <c r="C23">
        <v>16.776014</v>
      </c>
      <c r="D23">
        <v>42.725270999999999</v>
      </c>
      <c r="E23">
        <v>117.437776</v>
      </c>
      <c r="F23">
        <v>6.7206710000000003</v>
      </c>
      <c r="G23">
        <v>37.730773999999997</v>
      </c>
      <c r="H23">
        <v>145.81672900000001</v>
      </c>
      <c r="I23">
        <v>0.405416</v>
      </c>
      <c r="J23">
        <v>36.798591000000002</v>
      </c>
      <c r="K23">
        <v>60.383139</v>
      </c>
      <c r="L23">
        <v>9.6499269999999999</v>
      </c>
      <c r="M23">
        <v>46.452672</v>
      </c>
      <c r="N23">
        <v>100.07031000000001</v>
      </c>
    </row>
    <row r="24" spans="1:14" x14ac:dyDescent="0.3">
      <c r="A24" t="s">
        <v>18</v>
      </c>
      <c r="B24" t="s">
        <v>30</v>
      </c>
      <c r="C24">
        <v>105.81456</v>
      </c>
      <c r="D24">
        <v>37.680463000000003</v>
      </c>
      <c r="E24">
        <v>126.272814</v>
      </c>
      <c r="F24">
        <v>71.252656000000002</v>
      </c>
      <c r="G24">
        <v>37.923048999999999</v>
      </c>
      <c r="H24">
        <v>134.866051</v>
      </c>
      <c r="I24">
        <v>0.40653800000000001</v>
      </c>
      <c r="J24">
        <v>61.795850000000002</v>
      </c>
      <c r="K24">
        <v>368.00423599999999</v>
      </c>
      <c r="L24">
        <v>34.155366000000001</v>
      </c>
      <c r="M24">
        <v>36.887358999999996</v>
      </c>
      <c r="N24">
        <v>105.46893799999999</v>
      </c>
    </row>
    <row r="25" spans="1:14" x14ac:dyDescent="0.3">
      <c r="A25" t="s">
        <v>18</v>
      </c>
      <c r="B25" t="s">
        <v>29</v>
      </c>
      <c r="C25">
        <v>44.159300000000002</v>
      </c>
      <c r="D25">
        <v>51.762256000000001</v>
      </c>
      <c r="E25">
        <v>81.063764000000006</v>
      </c>
      <c r="F25">
        <v>27.068470000000001</v>
      </c>
      <c r="G25">
        <v>21.305305000000001</v>
      </c>
      <c r="H25">
        <v>13.299098000000001</v>
      </c>
      <c r="I25">
        <v>0</v>
      </c>
      <c r="J25">
        <v>0</v>
      </c>
      <c r="K25">
        <v>0</v>
      </c>
      <c r="L25">
        <v>17.09083</v>
      </c>
      <c r="M25">
        <v>100</v>
      </c>
      <c r="N25">
        <v>188.38949600000001</v>
      </c>
    </row>
    <row r="26" spans="1:14" x14ac:dyDescent="0.3">
      <c r="A26" t="s">
        <v>18</v>
      </c>
      <c r="B26" t="s">
        <v>28</v>
      </c>
      <c r="C26">
        <v>26.352419999999999</v>
      </c>
      <c r="D26">
        <v>85.537115999999997</v>
      </c>
      <c r="E26">
        <v>171.75173599999999</v>
      </c>
      <c r="F26">
        <v>18.734549999999999</v>
      </c>
      <c r="G26">
        <v>79.656197000000006</v>
      </c>
      <c r="H26">
        <v>119.52374500000001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>
        <v>300.19550199999998</v>
      </c>
    </row>
    <row r="27" spans="1:14" x14ac:dyDescent="0.3">
      <c r="A27" t="s">
        <v>18</v>
      </c>
      <c r="B27" t="s">
        <v>27</v>
      </c>
      <c r="C27">
        <v>1.37738</v>
      </c>
      <c r="D27">
        <v>96.310385999999994</v>
      </c>
      <c r="E27">
        <v>438.38905599999998</v>
      </c>
      <c r="F27">
        <v>0.92057</v>
      </c>
      <c r="G27">
        <v>94.479506999999998</v>
      </c>
      <c r="H27">
        <v>370.66556100000003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>
        <v>574.86640599999998</v>
      </c>
    </row>
    <row r="28" spans="1:14" x14ac:dyDescent="0.3">
      <c r="A28" t="s">
        <v>18</v>
      </c>
      <c r="B28" t="s">
        <v>26</v>
      </c>
      <c r="C28">
        <v>3.4549999999999997E-2</v>
      </c>
      <c r="D28">
        <v>100</v>
      </c>
      <c r="E28">
        <v>503.83825300000001</v>
      </c>
      <c r="F28">
        <v>2E-3</v>
      </c>
      <c r="G28">
        <v>100</v>
      </c>
      <c r="H28">
        <v>362.384052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>
        <v>512.52975600000002</v>
      </c>
    </row>
    <row r="29" spans="1:14" x14ac:dyDescent="0.3">
      <c r="A29" t="s">
        <v>18</v>
      </c>
      <c r="B29" t="s">
        <v>25</v>
      </c>
      <c r="C29">
        <v>2.9764879999999998</v>
      </c>
      <c r="D29">
        <v>72.110311999999993</v>
      </c>
      <c r="E29">
        <v>505.74905999999999</v>
      </c>
      <c r="F29">
        <v>2.016947</v>
      </c>
      <c r="G29">
        <v>85.586674000000002</v>
      </c>
      <c r="H29">
        <v>636.02222500000005</v>
      </c>
      <c r="I29">
        <v>0.40108300000000002</v>
      </c>
      <c r="J29">
        <v>19.628235</v>
      </c>
      <c r="K29">
        <v>122.06350500000001</v>
      </c>
      <c r="L29">
        <v>0.55845699999999998</v>
      </c>
      <c r="M29">
        <v>61.131055000000003</v>
      </c>
      <c r="N29">
        <v>310.81140399999998</v>
      </c>
    </row>
    <row r="30" spans="1:14" x14ac:dyDescent="0.3">
      <c r="A30" t="s">
        <v>18</v>
      </c>
      <c r="B30" t="s">
        <v>24</v>
      </c>
      <c r="C30">
        <v>95.928974999999994</v>
      </c>
      <c r="D30">
        <v>39.993338999999999</v>
      </c>
      <c r="E30">
        <v>87.857799</v>
      </c>
      <c r="F30">
        <v>94.397018000000003</v>
      </c>
      <c r="G30">
        <v>39.727533000000001</v>
      </c>
      <c r="H30">
        <v>86.541229999999999</v>
      </c>
      <c r="I30">
        <v>0</v>
      </c>
      <c r="J30">
        <v>0</v>
      </c>
      <c r="K30">
        <v>0</v>
      </c>
      <c r="L30">
        <v>1.531957</v>
      </c>
      <c r="M30">
        <v>56.371890999999998</v>
      </c>
      <c r="N30">
        <v>168.982946</v>
      </c>
    </row>
    <row r="31" spans="1:14" x14ac:dyDescent="0.3">
      <c r="A31" t="s">
        <v>18</v>
      </c>
      <c r="B31" t="s">
        <v>23</v>
      </c>
      <c r="C31">
        <v>42.007702999999999</v>
      </c>
      <c r="D31">
        <v>66.396154999999993</v>
      </c>
      <c r="E31">
        <v>124.519581</v>
      </c>
      <c r="F31">
        <v>22.885097999999999</v>
      </c>
      <c r="G31">
        <v>38.317048999999997</v>
      </c>
      <c r="H31">
        <v>71.616504000000006</v>
      </c>
      <c r="I31">
        <v>0</v>
      </c>
      <c r="J31">
        <v>0</v>
      </c>
      <c r="K31">
        <v>0</v>
      </c>
      <c r="L31">
        <v>19.122606000000001</v>
      </c>
      <c r="M31">
        <v>100</v>
      </c>
      <c r="N31">
        <v>187.83166800000001</v>
      </c>
    </row>
    <row r="32" spans="1:14" x14ac:dyDescent="0.3">
      <c r="A32" t="s">
        <v>18</v>
      </c>
      <c r="B32" t="s">
        <v>22</v>
      </c>
      <c r="C32">
        <v>109.33327800000001</v>
      </c>
      <c r="D32">
        <v>80.362410999999994</v>
      </c>
      <c r="E32">
        <v>207.89470499999999</v>
      </c>
      <c r="F32">
        <v>71.566817999999998</v>
      </c>
      <c r="G32">
        <v>69.999476000000001</v>
      </c>
      <c r="H32">
        <v>118.24234300000001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>
        <v>377.78445099999999</v>
      </c>
    </row>
    <row r="33" spans="1:14" x14ac:dyDescent="0.3">
      <c r="A33" t="s">
        <v>18</v>
      </c>
      <c r="B33" t="s">
        <v>21</v>
      </c>
      <c r="C33">
        <v>26.799309999999998</v>
      </c>
      <c r="D33">
        <v>75.935126999999994</v>
      </c>
      <c r="E33">
        <v>149.46701100000001</v>
      </c>
      <c r="F33">
        <v>20.655619999999999</v>
      </c>
      <c r="G33">
        <v>68.779343999999995</v>
      </c>
      <c r="H33">
        <v>104.80378399999999</v>
      </c>
      <c r="I33">
        <v>0</v>
      </c>
      <c r="J33">
        <v>0</v>
      </c>
      <c r="K33">
        <v>0</v>
      </c>
      <c r="L33">
        <v>6.1436900000000003</v>
      </c>
      <c r="M33">
        <v>99.993488999999997</v>
      </c>
      <c r="N33">
        <v>299.62866500000001</v>
      </c>
    </row>
    <row r="34" spans="1:14" x14ac:dyDescent="0.3">
      <c r="A34" t="s">
        <v>18</v>
      </c>
      <c r="B34" t="s">
        <v>20</v>
      </c>
      <c r="C34">
        <v>14.066174</v>
      </c>
      <c r="D34">
        <v>49.432591000000002</v>
      </c>
      <c r="E34">
        <v>154.29459900000001</v>
      </c>
      <c r="F34">
        <v>10.980017</v>
      </c>
      <c r="G34">
        <v>35.229610000000001</v>
      </c>
      <c r="H34">
        <v>78.295762999999994</v>
      </c>
      <c r="I34">
        <v>0</v>
      </c>
      <c r="J34">
        <v>0</v>
      </c>
      <c r="K34">
        <v>0</v>
      </c>
      <c r="L34">
        <v>3.086157</v>
      </c>
      <c r="M34">
        <v>99.964357000000007</v>
      </c>
      <c r="N34">
        <v>424.68540000000002</v>
      </c>
    </row>
    <row r="35" spans="1:14" x14ac:dyDescent="0.3">
      <c r="A35" t="s">
        <v>18</v>
      </c>
      <c r="B35" t="s">
        <v>19</v>
      </c>
      <c r="C35">
        <v>251.921649</v>
      </c>
      <c r="D35">
        <v>86.972172</v>
      </c>
      <c r="E35">
        <v>268.69776400000001</v>
      </c>
      <c r="F35">
        <v>91.482399999999998</v>
      </c>
      <c r="G35">
        <v>64.124334000000005</v>
      </c>
      <c r="H35">
        <v>188.80514600000001</v>
      </c>
      <c r="I35">
        <v>0</v>
      </c>
      <c r="J35">
        <v>0</v>
      </c>
      <c r="K35">
        <v>0</v>
      </c>
      <c r="L35">
        <v>160.43924999999999</v>
      </c>
      <c r="M35">
        <v>100</v>
      </c>
      <c r="N35">
        <v>314.25250499999999</v>
      </c>
    </row>
    <row r="36" spans="1:14" x14ac:dyDescent="0.3">
      <c r="A36" t="s">
        <v>18</v>
      </c>
      <c r="B36" t="s">
        <v>17</v>
      </c>
      <c r="C36">
        <v>58.643210000000003</v>
      </c>
      <c r="D36">
        <v>10.363161</v>
      </c>
      <c r="E36">
        <v>8.9704809999999995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58.643210000000003</v>
      </c>
      <c r="M36">
        <v>10.363161</v>
      </c>
      <c r="N36">
        <v>8.9704809999999995</v>
      </c>
    </row>
    <row r="37" spans="1:14" x14ac:dyDescent="0.3">
      <c r="A37" t="s">
        <v>16</v>
      </c>
      <c r="C37">
        <v>1445.568767</v>
      </c>
      <c r="D37">
        <v>58.972200000000001</v>
      </c>
      <c r="E37">
        <v>169.361728</v>
      </c>
      <c r="F37">
        <v>927.81458199999997</v>
      </c>
      <c r="G37">
        <v>49.013750000000002</v>
      </c>
      <c r="H37">
        <v>133.86593999999999</v>
      </c>
      <c r="I37">
        <v>8.2177690000000005</v>
      </c>
      <c r="J37">
        <v>8.3098899999999993</v>
      </c>
      <c r="K37">
        <v>28.068408000000002</v>
      </c>
      <c r="L37">
        <v>509.53641499999998</v>
      </c>
      <c r="M37">
        <v>77.922612999999998</v>
      </c>
      <c r="N37">
        <v>236.27475799999999</v>
      </c>
    </row>
    <row r="38" spans="1:14" x14ac:dyDescent="0.3">
      <c r="A38" t="s">
        <v>3</v>
      </c>
      <c r="B38" t="s">
        <v>15</v>
      </c>
      <c r="C38">
        <v>19.970838000000001</v>
      </c>
      <c r="D38">
        <v>90.253136999999995</v>
      </c>
      <c r="E38">
        <v>327.688489</v>
      </c>
      <c r="F38">
        <v>7.4283419999999998</v>
      </c>
      <c r="G38">
        <v>73.795899000000006</v>
      </c>
      <c r="H38">
        <v>143.98815300000001</v>
      </c>
      <c r="I38">
        <v>0</v>
      </c>
      <c r="J38">
        <v>0</v>
      </c>
      <c r="K38">
        <v>0</v>
      </c>
      <c r="L38">
        <v>12.542496</v>
      </c>
      <c r="M38">
        <v>100</v>
      </c>
      <c r="N38">
        <v>436.48573099999999</v>
      </c>
    </row>
    <row r="39" spans="1:14" x14ac:dyDescent="0.3">
      <c r="A39" t="s">
        <v>3</v>
      </c>
      <c r="B39" t="s">
        <v>14</v>
      </c>
      <c r="C39">
        <v>66.500259999999997</v>
      </c>
      <c r="D39">
        <v>96.681983000000002</v>
      </c>
      <c r="E39">
        <v>255.55653799999999</v>
      </c>
      <c r="F39">
        <v>59.627850000000002</v>
      </c>
      <c r="G39">
        <v>96.299565000000001</v>
      </c>
      <c r="H39">
        <v>240.63070400000001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>
        <v>385.05920200000003</v>
      </c>
    </row>
    <row r="40" spans="1:14" x14ac:dyDescent="0.3">
      <c r="A40" t="s">
        <v>3</v>
      </c>
      <c r="B40" t="s">
        <v>13</v>
      </c>
      <c r="C40">
        <v>37.044150999999999</v>
      </c>
      <c r="D40">
        <v>65.804952999999998</v>
      </c>
      <c r="E40">
        <v>145.481787</v>
      </c>
      <c r="F40">
        <v>22.629581999999999</v>
      </c>
      <c r="G40">
        <v>44.023426000000001</v>
      </c>
      <c r="H40">
        <v>80.102267999999995</v>
      </c>
      <c r="I40">
        <v>0</v>
      </c>
      <c r="J40">
        <v>0</v>
      </c>
      <c r="K40">
        <v>0</v>
      </c>
      <c r="L40">
        <v>14.414569</v>
      </c>
      <c r="M40">
        <v>100</v>
      </c>
      <c r="N40">
        <v>248.12177600000001</v>
      </c>
    </row>
    <row r="41" spans="1:14" x14ac:dyDescent="0.3">
      <c r="A41" t="s">
        <v>3</v>
      </c>
      <c r="B41" t="s">
        <v>12</v>
      </c>
      <c r="C41">
        <v>4.703036</v>
      </c>
      <c r="D41">
        <v>53.506757</v>
      </c>
      <c r="E41">
        <v>95.038835000000006</v>
      </c>
      <c r="F41">
        <v>3.9760390000000001</v>
      </c>
      <c r="G41">
        <v>45.005727999999998</v>
      </c>
      <c r="H41">
        <v>59.965637999999998</v>
      </c>
      <c r="I41">
        <v>0</v>
      </c>
      <c r="J41">
        <v>0</v>
      </c>
      <c r="K41">
        <v>0</v>
      </c>
      <c r="L41">
        <v>0.726997</v>
      </c>
      <c r="M41">
        <v>100</v>
      </c>
      <c r="N41">
        <v>286.85875099999998</v>
      </c>
    </row>
    <row r="42" spans="1:14" x14ac:dyDescent="0.3">
      <c r="A42" t="s">
        <v>3</v>
      </c>
      <c r="B42" t="s">
        <v>11</v>
      </c>
      <c r="C42">
        <v>16.892092000000002</v>
      </c>
      <c r="D42">
        <v>59.675336999999999</v>
      </c>
      <c r="E42">
        <v>121.163196</v>
      </c>
      <c r="F42">
        <v>8.3265480000000007</v>
      </c>
      <c r="G42">
        <v>18.193238999999998</v>
      </c>
      <c r="H42">
        <v>11.660233</v>
      </c>
      <c r="I42">
        <v>0</v>
      </c>
      <c r="J42">
        <v>0</v>
      </c>
      <c r="K42">
        <v>0</v>
      </c>
      <c r="L42">
        <v>8.5655439999999992</v>
      </c>
      <c r="M42">
        <v>100</v>
      </c>
      <c r="N42">
        <v>227.61080200000001</v>
      </c>
    </row>
    <row r="43" spans="1:14" x14ac:dyDescent="0.3">
      <c r="A43" t="s">
        <v>3</v>
      </c>
      <c r="B43" t="s">
        <v>10</v>
      </c>
      <c r="C43">
        <v>3.7738299999999998</v>
      </c>
      <c r="D43">
        <v>92.307550000000006</v>
      </c>
      <c r="E43">
        <v>261.60562800000002</v>
      </c>
      <c r="F43">
        <v>1.8271599999999999</v>
      </c>
      <c r="G43">
        <v>84.111954999999995</v>
      </c>
      <c r="H43">
        <v>114.064875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>
        <v>400.08855599999998</v>
      </c>
    </row>
    <row r="44" spans="1:14" x14ac:dyDescent="0.3">
      <c r="A44" t="s">
        <v>3</v>
      </c>
      <c r="B44" t="s">
        <v>9</v>
      </c>
      <c r="C44">
        <v>9.0587280000000003</v>
      </c>
      <c r="D44">
        <v>47.513095999999997</v>
      </c>
      <c r="E44">
        <v>94.200490000000002</v>
      </c>
      <c r="F44">
        <v>6.0905389999999997</v>
      </c>
      <c r="G44">
        <v>21.933900999999999</v>
      </c>
      <c r="H44">
        <v>15.263807</v>
      </c>
      <c r="I44">
        <v>0</v>
      </c>
      <c r="J44">
        <v>0</v>
      </c>
      <c r="K44">
        <v>0</v>
      </c>
      <c r="L44">
        <v>2.9681899999999999</v>
      </c>
      <c r="M44">
        <v>100</v>
      </c>
      <c r="N44">
        <v>256.17361599999998</v>
      </c>
    </row>
    <row r="45" spans="1:14" x14ac:dyDescent="0.3">
      <c r="A45" t="s">
        <v>3</v>
      </c>
      <c r="B45" t="s">
        <v>8</v>
      </c>
      <c r="C45">
        <v>303.44588199999998</v>
      </c>
      <c r="D45">
        <v>3.8580209999999999</v>
      </c>
      <c r="E45">
        <v>3.4596909999999998</v>
      </c>
      <c r="F45">
        <v>124.62925</v>
      </c>
      <c r="G45">
        <v>6.5834599999999996</v>
      </c>
      <c r="H45">
        <v>6.068695</v>
      </c>
      <c r="I45">
        <v>23.593050000000002</v>
      </c>
      <c r="J45">
        <v>9.4737709999999993</v>
      </c>
      <c r="K45">
        <v>8.8702670000000001</v>
      </c>
      <c r="L45">
        <v>155.22358199999999</v>
      </c>
      <c r="M45">
        <v>0.81620099999999995</v>
      </c>
      <c r="N45">
        <v>0.542543</v>
      </c>
    </row>
    <row r="46" spans="1:14" x14ac:dyDescent="0.3">
      <c r="A46" t="s">
        <v>3</v>
      </c>
      <c r="B46" t="s">
        <v>7</v>
      </c>
      <c r="C46">
        <v>643.11932999999999</v>
      </c>
      <c r="D46">
        <v>32.821997000000003</v>
      </c>
      <c r="E46">
        <v>31.44482</v>
      </c>
      <c r="F46">
        <v>518.69763999999998</v>
      </c>
      <c r="G46">
        <v>29.843353</v>
      </c>
      <c r="H46">
        <v>27.431816000000001</v>
      </c>
      <c r="I46">
        <v>0</v>
      </c>
      <c r="J46">
        <v>0</v>
      </c>
      <c r="K46">
        <v>0</v>
      </c>
      <c r="L46">
        <v>124.42169</v>
      </c>
      <c r="M46">
        <v>45.239572000000003</v>
      </c>
      <c r="N46">
        <v>48.174505000000003</v>
      </c>
    </row>
    <row r="47" spans="1:14" x14ac:dyDescent="0.3">
      <c r="A47" t="s">
        <v>3</v>
      </c>
      <c r="B47" t="s">
        <v>6</v>
      </c>
      <c r="C47">
        <v>33.064343999999998</v>
      </c>
      <c r="D47">
        <v>77.252224999999996</v>
      </c>
      <c r="E47">
        <v>244.80326600000001</v>
      </c>
      <c r="F47">
        <v>19.799917000000001</v>
      </c>
      <c r="G47">
        <v>62.01296</v>
      </c>
      <c r="H47">
        <v>100.09487799999999</v>
      </c>
      <c r="I47">
        <v>0</v>
      </c>
      <c r="J47">
        <v>0</v>
      </c>
      <c r="K47">
        <v>0</v>
      </c>
      <c r="L47">
        <v>13.264427</v>
      </c>
      <c r="M47">
        <v>100</v>
      </c>
      <c r="N47">
        <v>460.810655</v>
      </c>
    </row>
    <row r="48" spans="1:14" x14ac:dyDescent="0.3">
      <c r="A48" t="s">
        <v>3</v>
      </c>
      <c r="B48" t="s">
        <v>5</v>
      </c>
      <c r="C48">
        <v>24.247599999999998</v>
      </c>
      <c r="D48">
        <v>37.301836000000002</v>
      </c>
      <c r="E48">
        <v>133.25168199999999</v>
      </c>
      <c r="F48">
        <v>10.4964</v>
      </c>
      <c r="G48">
        <v>54.138562</v>
      </c>
      <c r="H48">
        <v>219.810912</v>
      </c>
      <c r="I48">
        <v>0.1326</v>
      </c>
      <c r="J48">
        <v>31.825037999999999</v>
      </c>
      <c r="K48">
        <v>48.970270999999997</v>
      </c>
      <c r="L48">
        <v>13.618600000000001</v>
      </c>
      <c r="M48">
        <v>24.378423999999999</v>
      </c>
      <c r="N48">
        <v>67.357641000000001</v>
      </c>
    </row>
    <row r="49" spans="1:14" x14ac:dyDescent="0.3">
      <c r="A49" t="s">
        <v>3</v>
      </c>
      <c r="B49" t="s">
        <v>4</v>
      </c>
      <c r="C49">
        <v>97.773409999999998</v>
      </c>
      <c r="D49">
        <v>99.078378999999998</v>
      </c>
      <c r="E49">
        <v>295.57135899999997</v>
      </c>
      <c r="F49">
        <v>74.459490000000002</v>
      </c>
      <c r="G49">
        <v>98.789811999999998</v>
      </c>
      <c r="H49">
        <v>273.11713600000002</v>
      </c>
      <c r="I49">
        <v>0</v>
      </c>
      <c r="J49">
        <v>0</v>
      </c>
      <c r="K49">
        <v>0</v>
      </c>
      <c r="L49">
        <v>23.31392</v>
      </c>
      <c r="M49">
        <v>100</v>
      </c>
      <c r="N49">
        <v>367.285167</v>
      </c>
    </row>
    <row r="50" spans="1:14" x14ac:dyDescent="0.3">
      <c r="A50" t="s">
        <v>3</v>
      </c>
      <c r="B50" t="s">
        <v>2</v>
      </c>
      <c r="C50">
        <v>71.069734999999994</v>
      </c>
      <c r="D50">
        <v>7.0140289999999998</v>
      </c>
      <c r="E50">
        <v>10.438915</v>
      </c>
      <c r="F50">
        <v>19.14141</v>
      </c>
      <c r="G50">
        <v>19.854649999999999</v>
      </c>
      <c r="H50">
        <v>30.185914</v>
      </c>
      <c r="I50">
        <v>0.71511499999999995</v>
      </c>
      <c r="J50">
        <v>0.40301199999999998</v>
      </c>
      <c r="K50">
        <v>0.16502900000000001</v>
      </c>
      <c r="L50">
        <v>51.213209999999997</v>
      </c>
      <c r="M50">
        <v>2.3070409999999999</v>
      </c>
      <c r="N50">
        <v>3.2017500000000001</v>
      </c>
    </row>
    <row r="51" spans="1:14" x14ac:dyDescent="0.3">
      <c r="A51" t="s">
        <v>1</v>
      </c>
      <c r="C51">
        <v>1330.663237</v>
      </c>
      <c r="D51">
        <v>36.546883999999999</v>
      </c>
      <c r="E51">
        <v>71.769553000000002</v>
      </c>
      <c r="F51">
        <v>877.13016800000003</v>
      </c>
      <c r="G51">
        <v>38.462274000000001</v>
      </c>
      <c r="H51">
        <v>66.188207000000006</v>
      </c>
      <c r="I51">
        <v>24.440764999999999</v>
      </c>
      <c r="J51">
        <v>9.3296320000000001</v>
      </c>
      <c r="K51">
        <v>8.8331160000000004</v>
      </c>
      <c r="L51">
        <v>429.09230400000001</v>
      </c>
      <c r="M51">
        <v>34.181807999999997</v>
      </c>
      <c r="N51">
        <v>86.763487999999995</v>
      </c>
    </row>
    <row r="52" spans="1:14" x14ac:dyDescent="0.3">
      <c r="A52" t="s">
        <v>0</v>
      </c>
      <c r="C52">
        <v>2776.2320030000001</v>
      </c>
      <c r="D52">
        <v>48.223623000000003</v>
      </c>
      <c r="E52">
        <v>122.585263</v>
      </c>
      <c r="F52">
        <v>1804.9447500000001</v>
      </c>
      <c r="G52">
        <v>43.886158999999999</v>
      </c>
      <c r="H52">
        <v>100.977298</v>
      </c>
      <c r="I52">
        <v>32.658534000000003</v>
      </c>
      <c r="J52">
        <v>9.0730380000000004</v>
      </c>
      <c r="K52">
        <v>13.673235</v>
      </c>
      <c r="L52">
        <v>938.62871900000005</v>
      </c>
      <c r="M52">
        <v>57.926589</v>
      </c>
      <c r="N52">
        <v>167.92597000000001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1EA2-9665-4B25-9EF9-EDCE272EA708}">
  <dimension ref="A2:N52"/>
  <sheetViews>
    <sheetView workbookViewId="0"/>
  </sheetViews>
  <sheetFormatPr defaultRowHeight="14.4" x14ac:dyDescent="0.3"/>
  <sheetData>
    <row r="2" spans="1:14" x14ac:dyDescent="0.3">
      <c r="A2" t="s">
        <v>62</v>
      </c>
    </row>
    <row r="3" spans="1:14" x14ac:dyDescent="0.3">
      <c r="A3" t="s">
        <v>67</v>
      </c>
    </row>
    <row r="4" spans="1:14" x14ac:dyDescent="0.3">
      <c r="A4" t="s">
        <v>60</v>
      </c>
    </row>
    <row r="5" spans="1:14" x14ac:dyDescent="0.3">
      <c r="A5" t="s">
        <v>59</v>
      </c>
    </row>
    <row r="6" spans="1:14" x14ac:dyDescent="0.3">
      <c r="A6" t="s">
        <v>58</v>
      </c>
    </row>
    <row r="7" spans="1:14" x14ac:dyDescent="0.3">
      <c r="A7" t="s">
        <v>57</v>
      </c>
    </row>
    <row r="9" spans="1:14" x14ac:dyDescent="0.3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3">
      <c r="A10" t="s">
        <v>18</v>
      </c>
      <c r="B10" t="s">
        <v>44</v>
      </c>
      <c r="C10">
        <v>50.48854</v>
      </c>
      <c r="D10">
        <v>20.937325999999999</v>
      </c>
      <c r="E10">
        <v>39.737751000000003</v>
      </c>
      <c r="F10">
        <v>39.292830000000002</v>
      </c>
      <c r="G10">
        <v>21.177299000000001</v>
      </c>
      <c r="H10">
        <v>45.118504999999999</v>
      </c>
      <c r="I10">
        <v>5.1999999999999995E-4</v>
      </c>
      <c r="J10">
        <v>0</v>
      </c>
      <c r="K10">
        <v>0</v>
      </c>
      <c r="L10">
        <v>11.19519</v>
      </c>
      <c r="M10">
        <v>20.092825999999999</v>
      </c>
      <c r="N10">
        <v>20.837665000000001</v>
      </c>
    </row>
    <row r="11" spans="1:14" x14ac:dyDescent="0.3">
      <c r="A11" t="s">
        <v>18</v>
      </c>
      <c r="B11" t="s">
        <v>43</v>
      </c>
      <c r="C11">
        <v>15.55151</v>
      </c>
      <c r="D11">
        <v>44.208826000000002</v>
      </c>
      <c r="E11">
        <v>363.905145</v>
      </c>
      <c r="F11">
        <v>12.818580000000001</v>
      </c>
      <c r="G11">
        <v>48.529400000000003</v>
      </c>
      <c r="H11">
        <v>419.44582500000001</v>
      </c>
      <c r="I11">
        <v>0.13514999999999999</v>
      </c>
      <c r="J11">
        <v>9.5745470000000008</v>
      </c>
      <c r="K11">
        <v>22.808608</v>
      </c>
      <c r="L11">
        <v>2.5977800000000002</v>
      </c>
      <c r="M11">
        <v>24.691082000000002</v>
      </c>
      <c r="N11">
        <v>107.588812</v>
      </c>
    </row>
    <row r="12" spans="1:14" x14ac:dyDescent="0.3">
      <c r="A12" t="s">
        <v>18</v>
      </c>
      <c r="B12" t="s">
        <v>42</v>
      </c>
      <c r="C12">
        <v>54.322257</v>
      </c>
      <c r="D12">
        <v>46.6723</v>
      </c>
      <c r="E12">
        <v>93.826476</v>
      </c>
      <c r="F12">
        <v>37.227128</v>
      </c>
      <c r="G12">
        <v>22.183603000000002</v>
      </c>
      <c r="H12">
        <v>14.274177999999999</v>
      </c>
      <c r="I12">
        <v>0</v>
      </c>
      <c r="J12">
        <v>0</v>
      </c>
      <c r="K12">
        <v>0</v>
      </c>
      <c r="L12">
        <v>17.095129</v>
      </c>
      <c r="M12">
        <v>100</v>
      </c>
      <c r="N12">
        <v>267.06317000000001</v>
      </c>
    </row>
    <row r="13" spans="1:14" x14ac:dyDescent="0.3">
      <c r="A13" t="s">
        <v>18</v>
      </c>
      <c r="B13" t="s">
        <v>41</v>
      </c>
      <c r="C13">
        <v>36.410994000000002</v>
      </c>
      <c r="D13">
        <v>72.292342000000005</v>
      </c>
      <c r="E13">
        <v>225.84777199999999</v>
      </c>
      <c r="F13">
        <v>19.764983000000001</v>
      </c>
      <c r="G13">
        <v>48.957034</v>
      </c>
      <c r="H13">
        <v>95.388677999999999</v>
      </c>
      <c r="I13">
        <v>0</v>
      </c>
      <c r="J13">
        <v>0</v>
      </c>
      <c r="K13">
        <v>0</v>
      </c>
      <c r="L13">
        <v>16.646011000000001</v>
      </c>
      <c r="M13">
        <v>100</v>
      </c>
      <c r="N13">
        <v>380.751059</v>
      </c>
    </row>
    <row r="14" spans="1:14" x14ac:dyDescent="0.3">
      <c r="A14" t="s">
        <v>18</v>
      </c>
      <c r="B14" t="s">
        <v>40</v>
      </c>
      <c r="C14">
        <v>1.69143</v>
      </c>
      <c r="D14">
        <v>100</v>
      </c>
      <c r="E14">
        <v>320.98369600000001</v>
      </c>
      <c r="F14">
        <v>0.65830999999999995</v>
      </c>
      <c r="G14">
        <v>100</v>
      </c>
      <c r="H14">
        <v>347.24059699999998</v>
      </c>
      <c r="I14">
        <v>0</v>
      </c>
      <c r="J14">
        <v>0</v>
      </c>
      <c r="K14">
        <v>0</v>
      </c>
      <c r="L14">
        <v>1.03312</v>
      </c>
      <c r="M14">
        <v>100</v>
      </c>
      <c r="N14">
        <v>304.25264700000002</v>
      </c>
    </row>
    <row r="15" spans="1:14" x14ac:dyDescent="0.3">
      <c r="A15" t="s">
        <v>18</v>
      </c>
      <c r="B15" t="s">
        <v>39</v>
      </c>
      <c r="C15">
        <v>23.831250000000001</v>
      </c>
      <c r="D15">
        <v>43.085234999999997</v>
      </c>
      <c r="E15">
        <v>51.123291000000002</v>
      </c>
      <c r="F15">
        <v>23.71875</v>
      </c>
      <c r="G15">
        <v>43.135705000000002</v>
      </c>
      <c r="H15">
        <v>51.158033000000003</v>
      </c>
      <c r="I15">
        <v>0</v>
      </c>
      <c r="J15">
        <v>0</v>
      </c>
      <c r="K15">
        <v>0</v>
      </c>
      <c r="L15">
        <v>0.1125</v>
      </c>
      <c r="M15">
        <v>32.444443999999997</v>
      </c>
      <c r="N15">
        <v>43.798648999999997</v>
      </c>
    </row>
    <row r="16" spans="1:14" x14ac:dyDescent="0.3">
      <c r="A16" t="s">
        <v>18</v>
      </c>
      <c r="B16" t="s">
        <v>38</v>
      </c>
      <c r="C16">
        <v>6.6650200000000002</v>
      </c>
      <c r="D16">
        <v>99.047865000000002</v>
      </c>
      <c r="E16">
        <v>438.52354500000001</v>
      </c>
      <c r="F16">
        <v>3.79548</v>
      </c>
      <c r="G16">
        <v>98.328011000000004</v>
      </c>
      <c r="H16">
        <v>366.76639499999999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>
        <v>533.43521199999998</v>
      </c>
    </row>
    <row r="17" spans="1:14" x14ac:dyDescent="0.3">
      <c r="A17" t="s">
        <v>18</v>
      </c>
      <c r="B17" t="s">
        <v>37</v>
      </c>
      <c r="C17">
        <v>30.592469999999999</v>
      </c>
      <c r="D17">
        <v>24.815911</v>
      </c>
      <c r="E17">
        <v>17.830515999999999</v>
      </c>
      <c r="F17">
        <v>21.647210000000001</v>
      </c>
      <c r="G17">
        <v>0.12731400000000001</v>
      </c>
      <c r="H17">
        <v>4.0966000000000002E-2</v>
      </c>
      <c r="I17">
        <v>0</v>
      </c>
      <c r="J17">
        <v>0</v>
      </c>
      <c r="K17">
        <v>0</v>
      </c>
      <c r="L17">
        <v>8.9452599999999993</v>
      </c>
      <c r="M17">
        <v>84.561432999999994</v>
      </c>
      <c r="N17">
        <v>60.880594000000002</v>
      </c>
    </row>
    <row r="18" spans="1:14" x14ac:dyDescent="0.3">
      <c r="A18" t="s">
        <v>18</v>
      </c>
      <c r="B18" t="s">
        <v>36</v>
      </c>
      <c r="C18">
        <v>41.047379999999997</v>
      </c>
      <c r="D18">
        <v>0.50892400000000004</v>
      </c>
      <c r="E18">
        <v>5.5608999999999999E-2</v>
      </c>
      <c r="F18">
        <v>17.296330000000001</v>
      </c>
      <c r="G18">
        <v>0.15610199999999999</v>
      </c>
      <c r="H18">
        <v>2.4714E-2</v>
      </c>
      <c r="I18">
        <v>6.7621799999999999</v>
      </c>
      <c r="J18">
        <v>2.6899609999999998</v>
      </c>
      <c r="K18">
        <v>0.274341</v>
      </c>
      <c r="L18">
        <v>16.988869999999999</v>
      </c>
      <c r="M18">
        <v>0</v>
      </c>
      <c r="N18">
        <v>0</v>
      </c>
    </row>
    <row r="19" spans="1:14" x14ac:dyDescent="0.3">
      <c r="A19" t="s">
        <v>18</v>
      </c>
      <c r="B19" t="s">
        <v>35</v>
      </c>
      <c r="C19">
        <v>176.93678</v>
      </c>
      <c r="D19">
        <v>52.191674999999996</v>
      </c>
      <c r="E19">
        <v>126.177438</v>
      </c>
      <c r="F19">
        <v>170.24708000000001</v>
      </c>
      <c r="G19">
        <v>51.161288999999996</v>
      </c>
      <c r="H19">
        <v>127.831138</v>
      </c>
      <c r="I19">
        <v>0</v>
      </c>
      <c r="J19">
        <v>0</v>
      </c>
      <c r="K19">
        <v>0</v>
      </c>
      <c r="L19">
        <v>6.6897000000000002</v>
      </c>
      <c r="M19">
        <v>78.414129000000003</v>
      </c>
      <c r="N19">
        <v>84.092202999999998</v>
      </c>
    </row>
    <row r="20" spans="1:14" x14ac:dyDescent="0.3">
      <c r="A20" t="s">
        <v>18</v>
      </c>
      <c r="B20" t="s">
        <v>34</v>
      </c>
      <c r="C20">
        <v>103.988407</v>
      </c>
      <c r="D20">
        <v>55.016883</v>
      </c>
      <c r="E20">
        <v>246.15049999999999</v>
      </c>
      <c r="F20">
        <v>100.829339</v>
      </c>
      <c r="G20">
        <v>55.723993999999998</v>
      </c>
      <c r="H20">
        <v>248.06203199999999</v>
      </c>
      <c r="I20">
        <v>0.10688300000000001</v>
      </c>
      <c r="J20">
        <v>5.1062830000000003</v>
      </c>
      <c r="K20">
        <v>8.4748129999999993</v>
      </c>
      <c r="L20">
        <v>3.0521859999999998</v>
      </c>
      <c r="M20">
        <v>33.405182000000003</v>
      </c>
      <c r="N20">
        <v>191.325853</v>
      </c>
    </row>
    <row r="21" spans="1:14" x14ac:dyDescent="0.3">
      <c r="A21" t="s">
        <v>18</v>
      </c>
      <c r="B21" t="s">
        <v>33</v>
      </c>
      <c r="C21">
        <v>77.844376999999994</v>
      </c>
      <c r="D21">
        <v>99.905158</v>
      </c>
      <c r="E21">
        <v>280.65079500000002</v>
      </c>
      <c r="F21">
        <v>24.488047999999999</v>
      </c>
      <c r="G21">
        <v>99.698508000000004</v>
      </c>
      <c r="H21">
        <v>265.75176900000002</v>
      </c>
      <c r="I21">
        <v>0</v>
      </c>
      <c r="J21">
        <v>0</v>
      </c>
      <c r="K21">
        <v>0</v>
      </c>
      <c r="L21">
        <v>53.356329000000002</v>
      </c>
      <c r="M21">
        <v>100</v>
      </c>
      <c r="N21">
        <v>287.48874799999999</v>
      </c>
    </row>
    <row r="22" spans="1:14" x14ac:dyDescent="0.3">
      <c r="A22" t="s">
        <v>18</v>
      </c>
      <c r="B22" t="s">
        <v>32</v>
      </c>
      <c r="C22">
        <v>30.007339999999999</v>
      </c>
      <c r="D22">
        <v>68.272362999999999</v>
      </c>
      <c r="E22">
        <v>275.50690300000002</v>
      </c>
      <c r="F22">
        <v>17.34768</v>
      </c>
      <c r="G22">
        <v>45.118771000000002</v>
      </c>
      <c r="H22">
        <v>124.400537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>
        <v>482.56972300000001</v>
      </c>
    </row>
    <row r="23" spans="1:14" x14ac:dyDescent="0.3">
      <c r="A23" t="s">
        <v>18</v>
      </c>
      <c r="B23" t="s">
        <v>31</v>
      </c>
      <c r="C23">
        <v>16.776014</v>
      </c>
      <c r="D23">
        <v>42.709235999999997</v>
      </c>
      <c r="E23">
        <v>117.18690100000001</v>
      </c>
      <c r="F23">
        <v>6.7206710000000003</v>
      </c>
      <c r="G23">
        <v>37.690747999999999</v>
      </c>
      <c r="H23">
        <v>145.55231800000001</v>
      </c>
      <c r="I23">
        <v>0.405416</v>
      </c>
      <c r="J23">
        <v>36.798591000000002</v>
      </c>
      <c r="K23">
        <v>60.203583000000002</v>
      </c>
      <c r="L23">
        <v>9.6499269999999999</v>
      </c>
      <c r="M23">
        <v>46.452672</v>
      </c>
      <c r="N23">
        <v>99.825867000000002</v>
      </c>
    </row>
    <row r="24" spans="1:14" x14ac:dyDescent="0.3">
      <c r="A24" t="s">
        <v>18</v>
      </c>
      <c r="B24" t="s">
        <v>30</v>
      </c>
      <c r="C24">
        <v>105.81456</v>
      </c>
      <c r="D24">
        <v>36.805670999999997</v>
      </c>
      <c r="E24">
        <v>122.622654</v>
      </c>
      <c r="F24">
        <v>71.252656000000002</v>
      </c>
      <c r="G24">
        <v>37.002167</v>
      </c>
      <c r="H24">
        <v>130.771275</v>
      </c>
      <c r="I24">
        <v>0.40653800000000001</v>
      </c>
      <c r="J24">
        <v>60.873427</v>
      </c>
      <c r="K24">
        <v>360.784313</v>
      </c>
      <c r="L24">
        <v>34.155366000000001</v>
      </c>
      <c r="M24">
        <v>36.109287000000002</v>
      </c>
      <c r="N24">
        <v>102.788799</v>
      </c>
    </row>
    <row r="25" spans="1:14" x14ac:dyDescent="0.3">
      <c r="A25" t="s">
        <v>18</v>
      </c>
      <c r="B25" t="s">
        <v>29</v>
      </c>
      <c r="C25">
        <v>44.159300000000002</v>
      </c>
      <c r="D25">
        <v>49.940691999999999</v>
      </c>
      <c r="E25">
        <v>76.04289</v>
      </c>
      <c r="F25">
        <v>27.068470000000001</v>
      </c>
      <c r="G25">
        <v>18.333618000000001</v>
      </c>
      <c r="H25">
        <v>10.692076</v>
      </c>
      <c r="I25">
        <v>0</v>
      </c>
      <c r="J25">
        <v>0</v>
      </c>
      <c r="K25">
        <v>0</v>
      </c>
      <c r="L25">
        <v>17.09083</v>
      </c>
      <c r="M25">
        <v>100</v>
      </c>
      <c r="N25">
        <v>179.54556199999999</v>
      </c>
    </row>
    <row r="26" spans="1:14" x14ac:dyDescent="0.3">
      <c r="A26" t="s">
        <v>18</v>
      </c>
      <c r="B26" t="s">
        <v>28</v>
      </c>
      <c r="C26">
        <v>26.352419999999999</v>
      </c>
      <c r="D26">
        <v>81.359168999999994</v>
      </c>
      <c r="E26">
        <v>152.40952999999999</v>
      </c>
      <c r="F26">
        <v>18.734549999999999</v>
      </c>
      <c r="G26">
        <v>73.779408000000004</v>
      </c>
      <c r="H26">
        <v>99.854894999999999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>
        <v>281.656609</v>
      </c>
    </row>
    <row r="27" spans="1:14" x14ac:dyDescent="0.3">
      <c r="A27" t="s">
        <v>18</v>
      </c>
      <c r="B27" t="s">
        <v>27</v>
      </c>
      <c r="C27">
        <v>1.37738</v>
      </c>
      <c r="D27">
        <v>96.308207999999993</v>
      </c>
      <c r="E27">
        <v>431.51097199999998</v>
      </c>
      <c r="F27">
        <v>0.92057</v>
      </c>
      <c r="G27">
        <v>94.476247999999998</v>
      </c>
      <c r="H27">
        <v>363.14057400000002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>
        <v>569.291967</v>
      </c>
    </row>
    <row r="28" spans="1:14" x14ac:dyDescent="0.3">
      <c r="A28" t="s">
        <v>18</v>
      </c>
      <c r="B28" t="s">
        <v>26</v>
      </c>
      <c r="C28">
        <v>3.4549999999999997E-2</v>
      </c>
      <c r="D28">
        <v>100</v>
      </c>
      <c r="E28">
        <v>501.95837299999999</v>
      </c>
      <c r="F28">
        <v>2E-3</v>
      </c>
      <c r="G28">
        <v>100</v>
      </c>
      <c r="H28">
        <v>360.29047400000002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>
        <v>510.663006</v>
      </c>
    </row>
    <row r="29" spans="1:14" x14ac:dyDescent="0.3">
      <c r="A29" t="s">
        <v>18</v>
      </c>
      <c r="B29" t="s">
        <v>25</v>
      </c>
      <c r="C29">
        <v>2.9764879999999998</v>
      </c>
      <c r="D29">
        <v>72.039608000000001</v>
      </c>
      <c r="E29">
        <v>498.15173800000002</v>
      </c>
      <c r="F29">
        <v>2.016947</v>
      </c>
      <c r="G29">
        <v>85.584861000000004</v>
      </c>
      <c r="H29">
        <v>626.51460899999995</v>
      </c>
      <c r="I29">
        <v>0.40108300000000002</v>
      </c>
      <c r="J29">
        <v>19.279871</v>
      </c>
      <c r="K29">
        <v>120.580899</v>
      </c>
      <c r="L29">
        <v>0.55845699999999998</v>
      </c>
      <c r="M29">
        <v>61.010959999999997</v>
      </c>
      <c r="N29">
        <v>305.72179899999998</v>
      </c>
    </row>
    <row r="30" spans="1:14" x14ac:dyDescent="0.3">
      <c r="A30" t="s">
        <v>18</v>
      </c>
      <c r="B30" t="s">
        <v>24</v>
      </c>
      <c r="C30">
        <v>95.928974999999994</v>
      </c>
      <c r="D30">
        <v>32.267183000000003</v>
      </c>
      <c r="E30">
        <v>58.167557000000002</v>
      </c>
      <c r="F30">
        <v>94.397018000000003</v>
      </c>
      <c r="G30">
        <v>31.914771999999999</v>
      </c>
      <c r="H30">
        <v>56.863768999999998</v>
      </c>
      <c r="I30">
        <v>0</v>
      </c>
      <c r="J30">
        <v>0</v>
      </c>
      <c r="K30">
        <v>0</v>
      </c>
      <c r="L30">
        <v>1.531957</v>
      </c>
      <c r="M30">
        <v>53.982261000000001</v>
      </c>
      <c r="N30">
        <v>138.50506200000001</v>
      </c>
    </row>
    <row r="31" spans="1:14" x14ac:dyDescent="0.3">
      <c r="A31" t="s">
        <v>18</v>
      </c>
      <c r="B31" t="s">
        <v>23</v>
      </c>
      <c r="C31">
        <v>42.007702999999999</v>
      </c>
      <c r="D31">
        <v>65.585447000000002</v>
      </c>
      <c r="E31">
        <v>120.527311</v>
      </c>
      <c r="F31">
        <v>22.885097999999999</v>
      </c>
      <c r="G31">
        <v>36.828918999999999</v>
      </c>
      <c r="H31">
        <v>67.900254000000004</v>
      </c>
      <c r="I31">
        <v>0</v>
      </c>
      <c r="J31">
        <v>0</v>
      </c>
      <c r="K31">
        <v>0</v>
      </c>
      <c r="L31">
        <v>19.122606000000001</v>
      </c>
      <c r="M31">
        <v>100</v>
      </c>
      <c r="N31">
        <v>183.50907100000001</v>
      </c>
    </row>
    <row r="32" spans="1:14" x14ac:dyDescent="0.3">
      <c r="A32" t="s">
        <v>18</v>
      </c>
      <c r="B32" t="s">
        <v>22</v>
      </c>
      <c r="C32">
        <v>109.33327800000001</v>
      </c>
      <c r="D32">
        <v>76.852172999999993</v>
      </c>
      <c r="E32">
        <v>185.053246</v>
      </c>
      <c r="F32">
        <v>71.566817999999998</v>
      </c>
      <c r="G32">
        <v>64.636854999999997</v>
      </c>
      <c r="H32">
        <v>96.533367999999996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>
        <v>352.79695199999998</v>
      </c>
    </row>
    <row r="33" spans="1:14" x14ac:dyDescent="0.3">
      <c r="A33" t="s">
        <v>18</v>
      </c>
      <c r="B33" t="s">
        <v>21</v>
      </c>
      <c r="C33">
        <v>26.799309999999998</v>
      </c>
      <c r="D33">
        <v>72.528248000000005</v>
      </c>
      <c r="E33">
        <v>130.498514</v>
      </c>
      <c r="F33">
        <v>20.655619999999999</v>
      </c>
      <c r="G33">
        <v>64.359143000000003</v>
      </c>
      <c r="H33">
        <v>86.051879999999997</v>
      </c>
      <c r="I33">
        <v>0</v>
      </c>
      <c r="J33">
        <v>0</v>
      </c>
      <c r="K33">
        <v>0</v>
      </c>
      <c r="L33">
        <v>6.1436900000000003</v>
      </c>
      <c r="M33">
        <v>99.993488999999997</v>
      </c>
      <c r="N33">
        <v>279.931962</v>
      </c>
    </row>
    <row r="34" spans="1:14" x14ac:dyDescent="0.3">
      <c r="A34" t="s">
        <v>18</v>
      </c>
      <c r="B34" t="s">
        <v>20</v>
      </c>
      <c r="C34">
        <v>14.066174</v>
      </c>
      <c r="D34">
        <v>48.304138999999999</v>
      </c>
      <c r="E34">
        <v>148.393147</v>
      </c>
      <c r="F34">
        <v>10.980017</v>
      </c>
      <c r="G34">
        <v>33.783983999999997</v>
      </c>
      <c r="H34">
        <v>73.476849999999999</v>
      </c>
      <c r="I34">
        <v>0</v>
      </c>
      <c r="J34">
        <v>0</v>
      </c>
      <c r="K34">
        <v>0</v>
      </c>
      <c r="L34">
        <v>3.086157</v>
      </c>
      <c r="M34">
        <v>99.964357000000007</v>
      </c>
      <c r="N34">
        <v>414.93246399999998</v>
      </c>
    </row>
    <row r="35" spans="1:14" x14ac:dyDescent="0.3">
      <c r="A35" t="s">
        <v>18</v>
      </c>
      <c r="B35" t="s">
        <v>19</v>
      </c>
      <c r="C35">
        <v>251.921649</v>
      </c>
      <c r="D35">
        <v>86.382650999999996</v>
      </c>
      <c r="E35">
        <v>260.03212000000002</v>
      </c>
      <c r="F35">
        <v>91.482399999999998</v>
      </c>
      <c r="G35">
        <v>62.500928999999999</v>
      </c>
      <c r="H35">
        <v>178.94295</v>
      </c>
      <c r="I35">
        <v>0</v>
      </c>
      <c r="J35">
        <v>0</v>
      </c>
      <c r="K35">
        <v>0</v>
      </c>
      <c r="L35">
        <v>160.43924999999999</v>
      </c>
      <c r="M35">
        <v>100</v>
      </c>
      <c r="N35">
        <v>306.26913400000001</v>
      </c>
    </row>
    <row r="36" spans="1:14" x14ac:dyDescent="0.3">
      <c r="A36" t="s">
        <v>18</v>
      </c>
      <c r="B36" t="s">
        <v>17</v>
      </c>
      <c r="C36">
        <v>58.643210000000003</v>
      </c>
      <c r="D36">
        <v>9.7032720000000001</v>
      </c>
      <c r="E36">
        <v>8.1565940000000001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58.643210000000003</v>
      </c>
      <c r="M36">
        <v>9.7032720000000001</v>
      </c>
      <c r="N36">
        <v>8.1565940000000001</v>
      </c>
    </row>
    <row r="37" spans="1:14" x14ac:dyDescent="0.3">
      <c r="A37" t="s">
        <v>16</v>
      </c>
      <c r="C37">
        <v>1445.568767</v>
      </c>
      <c r="D37">
        <v>57.311397999999997</v>
      </c>
      <c r="E37">
        <v>159.87496300000001</v>
      </c>
      <c r="F37">
        <v>927.81458199999997</v>
      </c>
      <c r="G37">
        <v>46.556255999999998</v>
      </c>
      <c r="H37">
        <v>123.604118</v>
      </c>
      <c r="I37">
        <v>8.2177690000000005</v>
      </c>
      <c r="J37">
        <v>8.2096090000000004</v>
      </c>
      <c r="K37">
        <v>27.437142000000001</v>
      </c>
      <c r="L37">
        <v>509.53641499999998</v>
      </c>
      <c r="M37">
        <v>77.687338999999994</v>
      </c>
      <c r="N37">
        <v>228.05647300000001</v>
      </c>
    </row>
    <row r="38" spans="1:14" x14ac:dyDescent="0.3">
      <c r="A38" t="s">
        <v>3</v>
      </c>
      <c r="B38" t="s">
        <v>15</v>
      </c>
      <c r="C38">
        <v>19.970838000000001</v>
      </c>
      <c r="D38">
        <v>88.408173000000005</v>
      </c>
      <c r="E38">
        <v>300.11450400000001</v>
      </c>
      <c r="F38">
        <v>7.4283419999999998</v>
      </c>
      <c r="G38">
        <v>68.835779000000002</v>
      </c>
      <c r="H38">
        <v>118.86729</v>
      </c>
      <c r="I38">
        <v>0</v>
      </c>
      <c r="J38">
        <v>0</v>
      </c>
      <c r="K38">
        <v>0</v>
      </c>
      <c r="L38">
        <v>12.542496</v>
      </c>
      <c r="M38">
        <v>100</v>
      </c>
      <c r="N38">
        <v>407.45887499999998</v>
      </c>
    </row>
    <row r="39" spans="1:14" x14ac:dyDescent="0.3">
      <c r="A39" t="s">
        <v>3</v>
      </c>
      <c r="B39" t="s">
        <v>14</v>
      </c>
      <c r="C39">
        <v>66.500259999999997</v>
      </c>
      <c r="D39">
        <v>96.221654000000001</v>
      </c>
      <c r="E39">
        <v>241.13520700000001</v>
      </c>
      <c r="F39">
        <v>59.627850000000002</v>
      </c>
      <c r="G39">
        <v>95.786180000000002</v>
      </c>
      <c r="H39">
        <v>226.044792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>
        <v>372.06584299999997</v>
      </c>
    </row>
    <row r="40" spans="1:14" x14ac:dyDescent="0.3">
      <c r="A40" t="s">
        <v>3</v>
      </c>
      <c r="B40" t="s">
        <v>13</v>
      </c>
      <c r="C40">
        <v>37.044150999999999</v>
      </c>
      <c r="D40">
        <v>65.320263999999995</v>
      </c>
      <c r="E40">
        <v>140.91413499999999</v>
      </c>
      <c r="F40">
        <v>22.629581999999999</v>
      </c>
      <c r="G40">
        <v>43.23</v>
      </c>
      <c r="H40">
        <v>76.103622000000001</v>
      </c>
      <c r="I40">
        <v>0</v>
      </c>
      <c r="J40">
        <v>0</v>
      </c>
      <c r="K40">
        <v>0</v>
      </c>
      <c r="L40">
        <v>14.414569</v>
      </c>
      <c r="M40">
        <v>100</v>
      </c>
      <c r="N40">
        <v>242.66083399999999</v>
      </c>
    </row>
    <row r="41" spans="1:14" x14ac:dyDescent="0.3">
      <c r="A41" t="s">
        <v>3</v>
      </c>
      <c r="B41" t="s">
        <v>12</v>
      </c>
      <c r="C41">
        <v>4.703036</v>
      </c>
      <c r="D41">
        <v>51.659652999999999</v>
      </c>
      <c r="E41">
        <v>87.758885000000006</v>
      </c>
      <c r="F41">
        <v>3.9760390000000001</v>
      </c>
      <c r="G41">
        <v>42.820891000000003</v>
      </c>
      <c r="H41">
        <v>53.566040999999998</v>
      </c>
      <c r="I41">
        <v>0</v>
      </c>
      <c r="J41">
        <v>0</v>
      </c>
      <c r="K41">
        <v>0</v>
      </c>
      <c r="L41">
        <v>0.726997</v>
      </c>
      <c r="M41">
        <v>100</v>
      </c>
      <c r="N41">
        <v>274.76403800000003</v>
      </c>
    </row>
    <row r="42" spans="1:14" x14ac:dyDescent="0.3">
      <c r="A42" t="s">
        <v>3</v>
      </c>
      <c r="B42" t="s">
        <v>11</v>
      </c>
      <c r="C42">
        <v>16.892092000000002</v>
      </c>
      <c r="D42">
        <v>57.036662</v>
      </c>
      <c r="E42">
        <v>113.862758</v>
      </c>
      <c r="F42">
        <v>8.3265480000000007</v>
      </c>
      <c r="G42">
        <v>12.84015</v>
      </c>
      <c r="H42">
        <v>9.0184650000000008</v>
      </c>
      <c r="I42">
        <v>0</v>
      </c>
      <c r="J42">
        <v>0</v>
      </c>
      <c r="K42">
        <v>0</v>
      </c>
      <c r="L42">
        <v>8.5655439999999992</v>
      </c>
      <c r="M42">
        <v>100</v>
      </c>
      <c r="N42">
        <v>215.78167999999999</v>
      </c>
    </row>
    <row r="43" spans="1:14" x14ac:dyDescent="0.3">
      <c r="A43" t="s">
        <v>3</v>
      </c>
      <c r="B43" t="s">
        <v>10</v>
      </c>
      <c r="C43">
        <v>3.7738299999999998</v>
      </c>
      <c r="D43">
        <v>78.762688999999995</v>
      </c>
      <c r="E43">
        <v>216.07398000000001</v>
      </c>
      <c r="F43">
        <v>1.8271599999999999</v>
      </c>
      <c r="G43">
        <v>56.136299000000001</v>
      </c>
      <c r="H43">
        <v>68.544888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>
        <v>354.54596199999997</v>
      </c>
    </row>
    <row r="44" spans="1:14" x14ac:dyDescent="0.3">
      <c r="A44" t="s">
        <v>3</v>
      </c>
      <c r="B44" t="s">
        <v>9</v>
      </c>
      <c r="C44">
        <v>9.0587280000000003</v>
      </c>
      <c r="D44">
        <v>46.738173000000003</v>
      </c>
      <c r="E44">
        <v>90.827805999999995</v>
      </c>
      <c r="F44">
        <v>6.0905389999999997</v>
      </c>
      <c r="G44">
        <v>20.781324000000001</v>
      </c>
      <c r="H44">
        <v>13.668016</v>
      </c>
      <c r="I44">
        <v>0</v>
      </c>
      <c r="J44">
        <v>0</v>
      </c>
      <c r="K44">
        <v>0</v>
      </c>
      <c r="L44">
        <v>2.9681899999999999</v>
      </c>
      <c r="M44">
        <v>100</v>
      </c>
      <c r="N44">
        <v>249.15485699999999</v>
      </c>
    </row>
    <row r="45" spans="1:14" x14ac:dyDescent="0.3">
      <c r="A45" t="s">
        <v>3</v>
      </c>
      <c r="B45" t="s">
        <v>8</v>
      </c>
      <c r="C45">
        <v>303.44588199999998</v>
      </c>
      <c r="D45">
        <v>3.6897419999999999</v>
      </c>
      <c r="E45">
        <v>3.0852369999999998</v>
      </c>
      <c r="F45">
        <v>124.62925</v>
      </c>
      <c r="G45">
        <v>6.3696020000000004</v>
      </c>
      <c r="H45">
        <v>5.3896490000000004</v>
      </c>
      <c r="I45">
        <v>23.593050000000002</v>
      </c>
      <c r="J45">
        <v>9.0577159999999992</v>
      </c>
      <c r="K45">
        <v>8.1743710000000007</v>
      </c>
      <c r="L45">
        <v>155.22358199999999</v>
      </c>
      <c r="M45">
        <v>0.72217799999999999</v>
      </c>
      <c r="N45">
        <v>0.461503</v>
      </c>
    </row>
    <row r="46" spans="1:14" x14ac:dyDescent="0.3">
      <c r="A46" t="s">
        <v>3</v>
      </c>
      <c r="B46" t="s">
        <v>7</v>
      </c>
      <c r="C46">
        <v>643.11932999999999</v>
      </c>
      <c r="D46">
        <v>30.791376</v>
      </c>
      <c r="E46">
        <v>28.471868000000001</v>
      </c>
      <c r="F46">
        <v>518.69763999999998</v>
      </c>
      <c r="G46">
        <v>27.579319999999999</v>
      </c>
      <c r="H46">
        <v>24.306115999999999</v>
      </c>
      <c r="I46">
        <v>0</v>
      </c>
      <c r="J46">
        <v>0</v>
      </c>
      <c r="K46">
        <v>0</v>
      </c>
      <c r="L46">
        <v>124.42169</v>
      </c>
      <c r="M46">
        <v>44.182015</v>
      </c>
      <c r="N46">
        <v>45.838337000000003</v>
      </c>
    </row>
    <row r="47" spans="1:14" x14ac:dyDescent="0.3">
      <c r="A47" t="s">
        <v>3</v>
      </c>
      <c r="B47" t="s">
        <v>6</v>
      </c>
      <c r="C47">
        <v>33.064343999999998</v>
      </c>
      <c r="D47">
        <v>76.052340000000001</v>
      </c>
      <c r="E47">
        <v>237.18498299999999</v>
      </c>
      <c r="F47">
        <v>19.799917000000001</v>
      </c>
      <c r="G47">
        <v>60.009244000000002</v>
      </c>
      <c r="H47">
        <v>93.701753999999994</v>
      </c>
      <c r="I47">
        <v>0</v>
      </c>
      <c r="J47">
        <v>0</v>
      </c>
      <c r="K47">
        <v>0</v>
      </c>
      <c r="L47">
        <v>13.264427</v>
      </c>
      <c r="M47">
        <v>100</v>
      </c>
      <c r="N47">
        <v>451.36356699999999</v>
      </c>
    </row>
    <row r="48" spans="1:14" x14ac:dyDescent="0.3">
      <c r="A48" t="s">
        <v>3</v>
      </c>
      <c r="B48" t="s">
        <v>5</v>
      </c>
      <c r="C48">
        <v>24.247599999999998</v>
      </c>
      <c r="D48">
        <v>36.605685000000001</v>
      </c>
      <c r="E48">
        <v>128.684605</v>
      </c>
      <c r="F48">
        <v>10.4964</v>
      </c>
      <c r="G48">
        <v>53.42022</v>
      </c>
      <c r="H48">
        <v>212.33142699999999</v>
      </c>
      <c r="I48">
        <v>0.1326</v>
      </c>
      <c r="J48">
        <v>31.825037999999999</v>
      </c>
      <c r="K48">
        <v>47.16939</v>
      </c>
      <c r="L48">
        <v>13.618600000000001</v>
      </c>
      <c r="M48">
        <v>23.692596999999999</v>
      </c>
      <c r="N48">
        <v>65.008340000000004</v>
      </c>
    </row>
    <row r="49" spans="1:14" x14ac:dyDescent="0.3">
      <c r="A49" t="s">
        <v>3</v>
      </c>
      <c r="B49" t="s">
        <v>4</v>
      </c>
      <c r="C49">
        <v>97.773409999999998</v>
      </c>
      <c r="D49">
        <v>98.887100000000004</v>
      </c>
      <c r="E49">
        <v>276.30687599999999</v>
      </c>
      <c r="F49">
        <v>74.459490000000002</v>
      </c>
      <c r="G49">
        <v>98.538641999999996</v>
      </c>
      <c r="H49">
        <v>252.909188</v>
      </c>
      <c r="I49">
        <v>0</v>
      </c>
      <c r="J49">
        <v>0</v>
      </c>
      <c r="K49">
        <v>0</v>
      </c>
      <c r="L49">
        <v>23.31392</v>
      </c>
      <c r="M49">
        <v>100</v>
      </c>
      <c r="N49">
        <v>351.03390300000001</v>
      </c>
    </row>
    <row r="50" spans="1:14" x14ac:dyDescent="0.3">
      <c r="A50" t="s">
        <v>3</v>
      </c>
      <c r="B50" t="s">
        <v>2</v>
      </c>
      <c r="C50">
        <v>71.069734999999994</v>
      </c>
      <c r="D50">
        <v>6.9812450000000004</v>
      </c>
      <c r="E50">
        <v>10.386113</v>
      </c>
      <c r="F50">
        <v>19.14141</v>
      </c>
      <c r="G50">
        <v>19.732925000000002</v>
      </c>
      <c r="H50">
        <v>30.008454</v>
      </c>
      <c r="I50">
        <v>0.71511499999999995</v>
      </c>
      <c r="J50">
        <v>0.40301199999999998</v>
      </c>
      <c r="K50">
        <v>0.163019</v>
      </c>
      <c r="L50">
        <v>51.213209999999997</v>
      </c>
      <c r="M50">
        <v>2.3070409999999999</v>
      </c>
      <c r="N50">
        <v>3.1948319999999999</v>
      </c>
    </row>
    <row r="51" spans="1:14" x14ac:dyDescent="0.3">
      <c r="A51" t="s">
        <v>1</v>
      </c>
      <c r="C51">
        <v>1330.663237</v>
      </c>
      <c r="D51">
        <v>35.320886999999999</v>
      </c>
      <c r="E51">
        <v>67.024271999999996</v>
      </c>
      <c r="F51">
        <v>877.13016800000003</v>
      </c>
      <c r="G51">
        <v>36.790851000000004</v>
      </c>
      <c r="H51">
        <v>60.822712000000003</v>
      </c>
      <c r="I51">
        <v>24.440764999999999</v>
      </c>
      <c r="J51">
        <v>8.9280080000000002</v>
      </c>
      <c r="K51">
        <v>8.1515280000000008</v>
      </c>
      <c r="L51">
        <v>429.09230400000001</v>
      </c>
      <c r="M51">
        <v>33.819374000000003</v>
      </c>
      <c r="N51">
        <v>83.054552999999999</v>
      </c>
    </row>
    <row r="52" spans="1:14" x14ac:dyDescent="0.3">
      <c r="A52" t="s">
        <v>0</v>
      </c>
      <c r="C52">
        <v>2776.2320030000001</v>
      </c>
      <c r="D52">
        <v>46.771225000000001</v>
      </c>
      <c r="E52">
        <v>115.371117</v>
      </c>
      <c r="F52">
        <v>1804.9447500000001</v>
      </c>
      <c r="G52">
        <v>41.810664000000003</v>
      </c>
      <c r="H52">
        <v>93.094892999999999</v>
      </c>
      <c r="I52">
        <v>32.658534000000003</v>
      </c>
      <c r="J52">
        <v>8.7472399999999997</v>
      </c>
      <c r="K52">
        <v>13.004308999999999</v>
      </c>
      <c r="L52">
        <v>938.62871900000005</v>
      </c>
      <c r="M52">
        <v>57.633184</v>
      </c>
      <c r="N52">
        <v>161.769126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2AB53-9812-49E1-AABB-4D7AB8FCA958}">
  <dimension ref="A2:N52"/>
  <sheetViews>
    <sheetView workbookViewId="0"/>
  </sheetViews>
  <sheetFormatPr defaultRowHeight="14.4" x14ac:dyDescent="0.3"/>
  <sheetData>
    <row r="2" spans="1:14" x14ac:dyDescent="0.3">
      <c r="A2" t="s">
        <v>62</v>
      </c>
    </row>
    <row r="3" spans="1:14" x14ac:dyDescent="0.3">
      <c r="A3" t="s">
        <v>68</v>
      </c>
    </row>
    <row r="4" spans="1:14" x14ac:dyDescent="0.3">
      <c r="A4" t="s">
        <v>60</v>
      </c>
    </row>
    <row r="5" spans="1:14" x14ac:dyDescent="0.3">
      <c r="A5" t="s">
        <v>59</v>
      </c>
    </row>
    <row r="6" spans="1:14" x14ac:dyDescent="0.3">
      <c r="A6" t="s">
        <v>58</v>
      </c>
    </row>
    <row r="7" spans="1:14" x14ac:dyDescent="0.3">
      <c r="A7" t="s">
        <v>57</v>
      </c>
    </row>
    <row r="9" spans="1:14" x14ac:dyDescent="0.3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3">
      <c r="A10" t="s">
        <v>18</v>
      </c>
      <c r="B10" t="s">
        <v>44</v>
      </c>
      <c r="C10">
        <v>50.48854</v>
      </c>
      <c r="D10">
        <v>16.779788</v>
      </c>
      <c r="E10">
        <v>29.659839000000002</v>
      </c>
      <c r="F10">
        <v>39.292830000000002</v>
      </c>
      <c r="G10">
        <v>16.924486999999999</v>
      </c>
      <c r="H10">
        <v>33.538114999999998</v>
      </c>
      <c r="I10">
        <v>5.1999999999999995E-4</v>
      </c>
      <c r="J10">
        <v>0</v>
      </c>
      <c r="K10">
        <v>0</v>
      </c>
      <c r="L10">
        <v>11.19519</v>
      </c>
      <c r="M10">
        <v>16.269487000000002</v>
      </c>
      <c r="N10">
        <v>16.034257</v>
      </c>
    </row>
    <row r="11" spans="1:14" x14ac:dyDescent="0.3">
      <c r="A11" t="s">
        <v>18</v>
      </c>
      <c r="B11" t="s">
        <v>43</v>
      </c>
      <c r="C11">
        <v>15.55151</v>
      </c>
      <c r="D11">
        <v>43.529727999999999</v>
      </c>
      <c r="E11">
        <v>351.23785199999998</v>
      </c>
      <c r="F11">
        <v>12.818580000000001</v>
      </c>
      <c r="G11">
        <v>47.870044999999998</v>
      </c>
      <c r="H11">
        <v>405.25560899999999</v>
      </c>
      <c r="I11">
        <v>0.13514999999999999</v>
      </c>
      <c r="J11">
        <v>9.5745470000000008</v>
      </c>
      <c r="K11">
        <v>20.751114000000001</v>
      </c>
      <c r="L11">
        <v>2.5977800000000002</v>
      </c>
      <c r="M11">
        <v>23.879235000000001</v>
      </c>
      <c r="N11">
        <v>101.884304</v>
      </c>
    </row>
    <row r="12" spans="1:14" x14ac:dyDescent="0.3">
      <c r="A12" t="s">
        <v>18</v>
      </c>
      <c r="B12" t="s">
        <v>42</v>
      </c>
      <c r="C12">
        <v>54.322257</v>
      </c>
      <c r="D12">
        <v>41.361936</v>
      </c>
      <c r="E12">
        <v>85.061158000000006</v>
      </c>
      <c r="F12">
        <v>37.227128</v>
      </c>
      <c r="G12">
        <v>14.434657</v>
      </c>
      <c r="H12">
        <v>9.4884579999999996</v>
      </c>
      <c r="I12">
        <v>0</v>
      </c>
      <c r="J12">
        <v>0</v>
      </c>
      <c r="K12">
        <v>0</v>
      </c>
      <c r="L12">
        <v>17.095129</v>
      </c>
      <c r="M12">
        <v>100</v>
      </c>
      <c r="N12">
        <v>249.63169600000001</v>
      </c>
    </row>
    <row r="13" spans="1:14" x14ac:dyDescent="0.3">
      <c r="A13" t="s">
        <v>18</v>
      </c>
      <c r="B13" t="s">
        <v>41</v>
      </c>
      <c r="C13">
        <v>36.410994000000002</v>
      </c>
      <c r="D13">
        <v>66.231393999999995</v>
      </c>
      <c r="E13">
        <v>181.28996799999999</v>
      </c>
      <c r="F13">
        <v>19.764983000000001</v>
      </c>
      <c r="G13">
        <v>37.791573999999997</v>
      </c>
      <c r="H13">
        <v>52.328754000000004</v>
      </c>
      <c r="I13">
        <v>0</v>
      </c>
      <c r="J13">
        <v>0</v>
      </c>
      <c r="K13">
        <v>0</v>
      </c>
      <c r="L13">
        <v>16.646011000000001</v>
      </c>
      <c r="M13">
        <v>100</v>
      </c>
      <c r="N13">
        <v>334.414717</v>
      </c>
    </row>
    <row r="14" spans="1:14" x14ac:dyDescent="0.3">
      <c r="A14" t="s">
        <v>18</v>
      </c>
      <c r="B14" t="s">
        <v>40</v>
      </c>
      <c r="C14">
        <v>1.69143</v>
      </c>
      <c r="D14">
        <v>100</v>
      </c>
      <c r="E14">
        <v>305.947315</v>
      </c>
      <c r="F14">
        <v>0.65830999999999995</v>
      </c>
      <c r="G14">
        <v>100</v>
      </c>
      <c r="H14">
        <v>331.51696800000002</v>
      </c>
      <c r="I14">
        <v>0</v>
      </c>
      <c r="J14">
        <v>0</v>
      </c>
      <c r="K14">
        <v>0</v>
      </c>
      <c r="L14">
        <v>1.03312</v>
      </c>
      <c r="M14">
        <v>100</v>
      </c>
      <c r="N14">
        <v>289.65418499999998</v>
      </c>
    </row>
    <row r="15" spans="1:14" x14ac:dyDescent="0.3">
      <c r="A15" t="s">
        <v>18</v>
      </c>
      <c r="B15" t="s">
        <v>39</v>
      </c>
      <c r="C15">
        <v>23.831250000000001</v>
      </c>
      <c r="D15">
        <v>36.909520000000001</v>
      </c>
      <c r="E15">
        <v>38.642591000000003</v>
      </c>
      <c r="F15">
        <v>23.71875</v>
      </c>
      <c r="G15">
        <v>36.940184000000002</v>
      </c>
      <c r="H15">
        <v>38.653751999999997</v>
      </c>
      <c r="I15">
        <v>0</v>
      </c>
      <c r="J15">
        <v>0</v>
      </c>
      <c r="K15">
        <v>0</v>
      </c>
      <c r="L15">
        <v>0.1125</v>
      </c>
      <c r="M15">
        <v>30.444444000000001</v>
      </c>
      <c r="N15">
        <v>36.289496</v>
      </c>
    </row>
    <row r="16" spans="1:14" x14ac:dyDescent="0.3">
      <c r="A16" t="s">
        <v>18</v>
      </c>
      <c r="B16" t="s">
        <v>38</v>
      </c>
      <c r="C16">
        <v>6.6650200000000002</v>
      </c>
      <c r="D16">
        <v>98.968644999999995</v>
      </c>
      <c r="E16">
        <v>422.46016800000001</v>
      </c>
      <c r="F16">
        <v>3.79548</v>
      </c>
      <c r="G16">
        <v>98.188897999999995</v>
      </c>
      <c r="H16">
        <v>349.36056300000001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>
        <v>519.14747399999999</v>
      </c>
    </row>
    <row r="17" spans="1:14" x14ac:dyDescent="0.3">
      <c r="A17" t="s">
        <v>18</v>
      </c>
      <c r="B17" t="s">
        <v>37</v>
      </c>
      <c r="C17">
        <v>30.592469999999999</v>
      </c>
      <c r="D17">
        <v>23.127489000000001</v>
      </c>
      <c r="E17">
        <v>16.030194000000002</v>
      </c>
      <c r="F17">
        <v>21.647210000000001</v>
      </c>
      <c r="G17">
        <v>7.8809000000000004E-2</v>
      </c>
      <c r="H17">
        <v>3.1740999999999998E-2</v>
      </c>
      <c r="I17">
        <v>0</v>
      </c>
      <c r="J17">
        <v>0</v>
      </c>
      <c r="K17">
        <v>0</v>
      </c>
      <c r="L17">
        <v>8.9452599999999993</v>
      </c>
      <c r="M17">
        <v>78.904470000000003</v>
      </c>
      <c r="N17">
        <v>54.74588</v>
      </c>
    </row>
    <row r="18" spans="1:14" x14ac:dyDescent="0.3">
      <c r="A18" t="s">
        <v>18</v>
      </c>
      <c r="B18" t="s">
        <v>36</v>
      </c>
      <c r="C18">
        <v>41.047379999999997</v>
      </c>
      <c r="D18">
        <v>0.27509699999999998</v>
      </c>
      <c r="E18">
        <v>3.0731000000000001E-2</v>
      </c>
      <c r="F18">
        <v>17.296330000000001</v>
      </c>
      <c r="G18">
        <v>0.119736</v>
      </c>
      <c r="H18">
        <v>1.3434E-2</v>
      </c>
      <c r="I18">
        <v>6.7621799999999999</v>
      </c>
      <c r="J18">
        <v>1.3636140000000001</v>
      </c>
      <c r="K18">
        <v>0.15218000000000001</v>
      </c>
      <c r="L18">
        <v>16.988869999999999</v>
      </c>
      <c r="M18">
        <v>0</v>
      </c>
      <c r="N18">
        <v>0</v>
      </c>
    </row>
    <row r="19" spans="1:14" x14ac:dyDescent="0.3">
      <c r="A19" t="s">
        <v>18</v>
      </c>
      <c r="B19" t="s">
        <v>35</v>
      </c>
      <c r="C19">
        <v>176.93678</v>
      </c>
      <c r="D19">
        <v>47.198056000000001</v>
      </c>
      <c r="E19">
        <v>97.241737999999998</v>
      </c>
      <c r="F19">
        <v>170.24708000000001</v>
      </c>
      <c r="G19">
        <v>46.175553000000001</v>
      </c>
      <c r="H19">
        <v>98.750904000000006</v>
      </c>
      <c r="I19">
        <v>0</v>
      </c>
      <c r="J19">
        <v>0</v>
      </c>
      <c r="K19">
        <v>0</v>
      </c>
      <c r="L19">
        <v>6.6897000000000002</v>
      </c>
      <c r="M19">
        <v>73.219875000000002</v>
      </c>
      <c r="N19">
        <v>58.834755000000001</v>
      </c>
    </row>
    <row r="20" spans="1:14" x14ac:dyDescent="0.3">
      <c r="A20" t="s">
        <v>18</v>
      </c>
      <c r="B20" t="s">
        <v>34</v>
      </c>
      <c r="C20">
        <v>103.988407</v>
      </c>
      <c r="D20">
        <v>51.976491000000003</v>
      </c>
      <c r="E20">
        <v>208.975199</v>
      </c>
      <c r="F20">
        <v>100.829339</v>
      </c>
      <c r="G20">
        <v>52.694507999999999</v>
      </c>
      <c r="H20">
        <v>210.55158</v>
      </c>
      <c r="I20">
        <v>0.10688300000000001</v>
      </c>
      <c r="J20">
        <v>2.5683020000000001</v>
      </c>
      <c r="K20">
        <v>3.7093069999999999</v>
      </c>
      <c r="L20">
        <v>3.0521859999999998</v>
      </c>
      <c r="M20">
        <v>29.986926</v>
      </c>
      <c r="N20">
        <v>164.08737400000001</v>
      </c>
    </row>
    <row r="21" spans="1:14" x14ac:dyDescent="0.3">
      <c r="A21" t="s">
        <v>18</v>
      </c>
      <c r="B21" t="s">
        <v>33</v>
      </c>
      <c r="C21">
        <v>77.844376999999994</v>
      </c>
      <c r="D21">
        <v>99.880262000000002</v>
      </c>
      <c r="E21">
        <v>270.34896600000002</v>
      </c>
      <c r="F21">
        <v>24.488047999999999</v>
      </c>
      <c r="G21">
        <v>99.619367999999994</v>
      </c>
      <c r="H21">
        <v>253.25080800000001</v>
      </c>
      <c r="I21">
        <v>0</v>
      </c>
      <c r="J21">
        <v>0</v>
      </c>
      <c r="K21">
        <v>0</v>
      </c>
      <c r="L21">
        <v>53.356329000000002</v>
      </c>
      <c r="M21">
        <v>100</v>
      </c>
      <c r="N21">
        <v>278.19621799999999</v>
      </c>
    </row>
    <row r="22" spans="1:14" x14ac:dyDescent="0.3">
      <c r="A22" t="s">
        <v>18</v>
      </c>
      <c r="B22" t="s">
        <v>32</v>
      </c>
      <c r="C22">
        <v>30.007339999999999</v>
      </c>
      <c r="D22">
        <v>67.032099000000002</v>
      </c>
      <c r="E22">
        <v>237.61525499999999</v>
      </c>
      <c r="F22">
        <v>17.34768</v>
      </c>
      <c r="G22">
        <v>42.973412000000003</v>
      </c>
      <c r="H22">
        <v>94.783546000000001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>
        <v>433.33921400000003</v>
      </c>
    </row>
    <row r="23" spans="1:14" x14ac:dyDescent="0.3">
      <c r="A23" t="s">
        <v>18</v>
      </c>
      <c r="B23" t="s">
        <v>31</v>
      </c>
      <c r="C23">
        <v>16.776014</v>
      </c>
      <c r="D23">
        <v>42.620697</v>
      </c>
      <c r="E23">
        <v>113.928089</v>
      </c>
      <c r="F23">
        <v>6.7206710000000003</v>
      </c>
      <c r="G23">
        <v>37.535257000000001</v>
      </c>
      <c r="H23">
        <v>141.591565</v>
      </c>
      <c r="I23">
        <v>0.405416</v>
      </c>
      <c r="J23">
        <v>36.798591000000002</v>
      </c>
      <c r="K23">
        <v>57.899267999999999</v>
      </c>
      <c r="L23">
        <v>9.6499269999999999</v>
      </c>
      <c r="M23">
        <v>46.407041</v>
      </c>
      <c r="N23">
        <v>97.015818999999993</v>
      </c>
    </row>
    <row r="24" spans="1:14" x14ac:dyDescent="0.3">
      <c r="A24" t="s">
        <v>18</v>
      </c>
      <c r="B24" t="s">
        <v>30</v>
      </c>
      <c r="C24">
        <v>105.81456</v>
      </c>
      <c r="D24">
        <v>32.917337000000003</v>
      </c>
      <c r="E24">
        <v>105.620651</v>
      </c>
      <c r="F24">
        <v>71.252656000000002</v>
      </c>
      <c r="G24">
        <v>32.868298000000003</v>
      </c>
      <c r="H24">
        <v>111.762747</v>
      </c>
      <c r="I24">
        <v>0.40653800000000001</v>
      </c>
      <c r="J24">
        <v>58.160272999999997</v>
      </c>
      <c r="K24">
        <v>326.61500799999999</v>
      </c>
      <c r="L24">
        <v>34.155366000000001</v>
      </c>
      <c r="M24">
        <v>32.719183000000001</v>
      </c>
      <c r="N24">
        <v>90.177009999999996</v>
      </c>
    </row>
    <row r="25" spans="1:14" x14ac:dyDescent="0.3">
      <c r="A25" t="s">
        <v>18</v>
      </c>
      <c r="B25" t="s">
        <v>29</v>
      </c>
      <c r="C25">
        <v>44.159300000000002</v>
      </c>
      <c r="D25">
        <v>47.030614</v>
      </c>
      <c r="E25">
        <v>69.119560000000007</v>
      </c>
      <c r="F25">
        <v>27.068470000000001</v>
      </c>
      <c r="G25">
        <v>13.592862999999999</v>
      </c>
      <c r="H25">
        <v>7.4522510000000004</v>
      </c>
      <c r="I25">
        <v>0</v>
      </c>
      <c r="J25">
        <v>0</v>
      </c>
      <c r="K25">
        <v>0</v>
      </c>
      <c r="L25">
        <v>17.09083</v>
      </c>
      <c r="M25">
        <v>99.989350999999999</v>
      </c>
      <c r="N25">
        <v>166.78829200000001</v>
      </c>
    </row>
    <row r="26" spans="1:14" x14ac:dyDescent="0.3">
      <c r="A26" t="s">
        <v>18</v>
      </c>
      <c r="B26" t="s">
        <v>28</v>
      </c>
      <c r="C26">
        <v>26.352419999999999</v>
      </c>
      <c r="D26">
        <v>76.210041000000004</v>
      </c>
      <c r="E26">
        <v>133.36851799999999</v>
      </c>
      <c r="F26">
        <v>18.734549999999999</v>
      </c>
      <c r="G26">
        <v>66.536533000000006</v>
      </c>
      <c r="H26">
        <v>80.767608999999993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>
        <v>262.729398</v>
      </c>
    </row>
    <row r="27" spans="1:14" x14ac:dyDescent="0.3">
      <c r="A27" t="s">
        <v>18</v>
      </c>
      <c r="B27" t="s">
        <v>27</v>
      </c>
      <c r="C27">
        <v>1.37738</v>
      </c>
      <c r="D27">
        <v>95.963351000000003</v>
      </c>
      <c r="E27">
        <v>396.77813600000002</v>
      </c>
      <c r="F27">
        <v>0.92057</v>
      </c>
      <c r="G27">
        <v>93.960263999999995</v>
      </c>
      <c r="H27">
        <v>326.30024800000001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>
        <v>538.80617800000005</v>
      </c>
    </row>
    <row r="28" spans="1:14" x14ac:dyDescent="0.3">
      <c r="A28" t="s">
        <v>18</v>
      </c>
      <c r="B28" t="s">
        <v>26</v>
      </c>
      <c r="C28">
        <v>3.4549999999999997E-2</v>
      </c>
      <c r="D28">
        <v>100</v>
      </c>
      <c r="E28">
        <v>496.16108300000002</v>
      </c>
      <c r="F28">
        <v>2E-3</v>
      </c>
      <c r="G28">
        <v>100</v>
      </c>
      <c r="H28">
        <v>354.53628600000002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>
        <v>504.863067</v>
      </c>
    </row>
    <row r="29" spans="1:14" x14ac:dyDescent="0.3">
      <c r="A29" t="s">
        <v>18</v>
      </c>
      <c r="B29" t="s">
        <v>25</v>
      </c>
      <c r="C29">
        <v>2.9764879999999998</v>
      </c>
      <c r="D29">
        <v>68.941376000000005</v>
      </c>
      <c r="E29">
        <v>471.500156</v>
      </c>
      <c r="F29">
        <v>2.016947</v>
      </c>
      <c r="G29">
        <v>81.415227999999999</v>
      </c>
      <c r="H29">
        <v>593.432455</v>
      </c>
      <c r="I29">
        <v>0.40108300000000002</v>
      </c>
      <c r="J29">
        <v>18.097238000000001</v>
      </c>
      <c r="K29">
        <v>115.21362499999999</v>
      </c>
      <c r="L29">
        <v>0.55845699999999998</v>
      </c>
      <c r="M29">
        <v>60.406466999999999</v>
      </c>
      <c r="N29">
        <v>287.00878599999999</v>
      </c>
    </row>
    <row r="30" spans="1:14" x14ac:dyDescent="0.3">
      <c r="A30" t="s">
        <v>18</v>
      </c>
      <c r="B30" t="s">
        <v>24</v>
      </c>
      <c r="C30">
        <v>95.928974999999994</v>
      </c>
      <c r="D30">
        <v>27.170741</v>
      </c>
      <c r="E30">
        <v>44.795577999999999</v>
      </c>
      <c r="F30">
        <v>94.397018000000003</v>
      </c>
      <c r="G30">
        <v>26.763372</v>
      </c>
      <c r="H30">
        <v>43.546126000000001</v>
      </c>
      <c r="I30">
        <v>0</v>
      </c>
      <c r="J30">
        <v>0</v>
      </c>
      <c r="K30">
        <v>0</v>
      </c>
      <c r="L30">
        <v>1.531957</v>
      </c>
      <c r="M30">
        <v>52.272266000000002</v>
      </c>
      <c r="N30">
        <v>121.78506899999999</v>
      </c>
    </row>
    <row r="31" spans="1:14" x14ac:dyDescent="0.3">
      <c r="A31" t="s">
        <v>18</v>
      </c>
      <c r="B31" t="s">
        <v>23</v>
      </c>
      <c r="C31">
        <v>42.007702999999999</v>
      </c>
      <c r="D31">
        <v>62.260080000000002</v>
      </c>
      <c r="E31">
        <v>97.212552000000002</v>
      </c>
      <c r="F31">
        <v>22.885097999999999</v>
      </c>
      <c r="G31">
        <v>30.728180999999999</v>
      </c>
      <c r="H31">
        <v>46.150238999999999</v>
      </c>
      <c r="I31">
        <v>0</v>
      </c>
      <c r="J31">
        <v>0</v>
      </c>
      <c r="K31">
        <v>0</v>
      </c>
      <c r="L31">
        <v>19.122606000000001</v>
      </c>
      <c r="M31">
        <v>99.996077999999997</v>
      </c>
      <c r="N31">
        <v>158.32169500000001</v>
      </c>
    </row>
    <row r="32" spans="1:14" x14ac:dyDescent="0.3">
      <c r="A32" t="s">
        <v>18</v>
      </c>
      <c r="B32" t="s">
        <v>22</v>
      </c>
      <c r="C32">
        <v>109.33327800000001</v>
      </c>
      <c r="D32">
        <v>72.912833000000006</v>
      </c>
      <c r="E32">
        <v>165.63314099999999</v>
      </c>
      <c r="F32">
        <v>71.566817999999998</v>
      </c>
      <c r="G32">
        <v>58.618689000000003</v>
      </c>
      <c r="H32">
        <v>78.661077000000006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>
        <v>330.44376499999998</v>
      </c>
    </row>
    <row r="33" spans="1:14" x14ac:dyDescent="0.3">
      <c r="A33" t="s">
        <v>18</v>
      </c>
      <c r="B33" t="s">
        <v>21</v>
      </c>
      <c r="C33">
        <v>26.799309999999998</v>
      </c>
      <c r="D33">
        <v>66.988740000000007</v>
      </c>
      <c r="E33">
        <v>111.165589</v>
      </c>
      <c r="F33">
        <v>20.655619999999999</v>
      </c>
      <c r="G33">
        <v>57.171995000000003</v>
      </c>
      <c r="H33">
        <v>67.551520999999994</v>
      </c>
      <c r="I33">
        <v>0</v>
      </c>
      <c r="J33">
        <v>0</v>
      </c>
      <c r="K33">
        <v>0</v>
      </c>
      <c r="L33">
        <v>6.1436900000000003</v>
      </c>
      <c r="M33">
        <v>99.993488999999997</v>
      </c>
      <c r="N33">
        <v>257.79987899999998</v>
      </c>
    </row>
    <row r="34" spans="1:14" x14ac:dyDescent="0.3">
      <c r="A34" t="s">
        <v>18</v>
      </c>
      <c r="B34" t="s">
        <v>20</v>
      </c>
      <c r="C34">
        <v>14.066174</v>
      </c>
      <c r="D34">
        <v>44.675434000000003</v>
      </c>
      <c r="E34">
        <v>127.67934</v>
      </c>
      <c r="F34">
        <v>10.980017</v>
      </c>
      <c r="G34">
        <v>29.135356999999999</v>
      </c>
      <c r="H34">
        <v>56.869948000000001</v>
      </c>
      <c r="I34">
        <v>0</v>
      </c>
      <c r="J34">
        <v>0</v>
      </c>
      <c r="K34">
        <v>0</v>
      </c>
      <c r="L34">
        <v>3.086157</v>
      </c>
      <c r="M34">
        <v>99.964357000000007</v>
      </c>
      <c r="N34">
        <v>379.60699399999999</v>
      </c>
    </row>
    <row r="35" spans="1:14" x14ac:dyDescent="0.3">
      <c r="A35" t="s">
        <v>18</v>
      </c>
      <c r="B35" t="s">
        <v>19</v>
      </c>
      <c r="C35">
        <v>251.921649</v>
      </c>
      <c r="D35">
        <v>82.470613</v>
      </c>
      <c r="E35">
        <v>222.65969999999999</v>
      </c>
      <c r="F35">
        <v>91.482399999999998</v>
      </c>
      <c r="G35">
        <v>51.728070000000002</v>
      </c>
      <c r="H35">
        <v>137.98602199999999</v>
      </c>
      <c r="I35">
        <v>0</v>
      </c>
      <c r="J35">
        <v>0</v>
      </c>
      <c r="K35">
        <v>0</v>
      </c>
      <c r="L35">
        <v>160.43924999999999</v>
      </c>
      <c r="M35">
        <v>100</v>
      </c>
      <c r="N35">
        <v>270.94059900000002</v>
      </c>
    </row>
    <row r="36" spans="1:14" x14ac:dyDescent="0.3">
      <c r="A36" t="s">
        <v>18</v>
      </c>
      <c r="B36" t="s">
        <v>17</v>
      </c>
      <c r="C36">
        <v>58.643210000000003</v>
      </c>
      <c r="D36">
        <v>8.5910709999999995</v>
      </c>
      <c r="E36">
        <v>7.3861319999999999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58.643210000000003</v>
      </c>
      <c r="M36">
        <v>8.5910709999999995</v>
      </c>
      <c r="N36">
        <v>7.3861319999999999</v>
      </c>
    </row>
    <row r="37" spans="1:14" x14ac:dyDescent="0.3">
      <c r="A37" t="s">
        <v>16</v>
      </c>
      <c r="C37">
        <v>1445.568767</v>
      </c>
      <c r="D37">
        <v>53.732312999999998</v>
      </c>
      <c r="E37">
        <v>137.97455500000001</v>
      </c>
      <c r="F37">
        <v>927.81458199999997</v>
      </c>
      <c r="G37">
        <v>41.342491000000003</v>
      </c>
      <c r="H37">
        <v>101.116122</v>
      </c>
      <c r="I37">
        <v>8.2177690000000005</v>
      </c>
      <c r="J37">
        <v>6.8932419999999999</v>
      </c>
      <c r="K37">
        <v>25.172632</v>
      </c>
      <c r="L37">
        <v>509.53641499999998</v>
      </c>
      <c r="M37">
        <v>77.048349000000002</v>
      </c>
      <c r="N37">
        <v>206.90931800000001</v>
      </c>
    </row>
    <row r="38" spans="1:14" x14ac:dyDescent="0.3">
      <c r="A38" t="s">
        <v>3</v>
      </c>
      <c r="B38" t="s">
        <v>15</v>
      </c>
      <c r="C38">
        <v>19.970838000000001</v>
      </c>
      <c r="D38">
        <v>85.674299000000005</v>
      </c>
      <c r="E38">
        <v>271.65737100000001</v>
      </c>
      <c r="F38">
        <v>7.4283419999999998</v>
      </c>
      <c r="G38">
        <v>61.485852999999999</v>
      </c>
      <c r="H38">
        <v>93.751818</v>
      </c>
      <c r="I38">
        <v>0</v>
      </c>
      <c r="J38">
        <v>0</v>
      </c>
      <c r="K38">
        <v>0</v>
      </c>
      <c r="L38">
        <v>12.542496</v>
      </c>
      <c r="M38">
        <v>100</v>
      </c>
      <c r="N38">
        <v>377.02262999999999</v>
      </c>
    </row>
    <row r="39" spans="1:14" x14ac:dyDescent="0.3">
      <c r="A39" t="s">
        <v>3</v>
      </c>
      <c r="B39" t="s">
        <v>14</v>
      </c>
      <c r="C39">
        <v>66.500259999999997</v>
      </c>
      <c r="D39">
        <v>94.134444000000002</v>
      </c>
      <c r="E39">
        <v>201.63296</v>
      </c>
      <c r="F39">
        <v>59.627850000000002</v>
      </c>
      <c r="G39">
        <v>93.458409000000003</v>
      </c>
      <c r="H39">
        <v>185.710106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>
        <v>339.78617200000002</v>
      </c>
    </row>
    <row r="40" spans="1:14" x14ac:dyDescent="0.3">
      <c r="A40" t="s">
        <v>3</v>
      </c>
      <c r="B40" t="s">
        <v>13</v>
      </c>
      <c r="C40">
        <v>37.044150999999999</v>
      </c>
      <c r="D40">
        <v>62.378824000000002</v>
      </c>
      <c r="E40">
        <v>120.28019</v>
      </c>
      <c r="F40">
        <v>22.629581999999999</v>
      </c>
      <c r="G40">
        <v>38.414924999999997</v>
      </c>
      <c r="H40">
        <v>56.954456</v>
      </c>
      <c r="I40">
        <v>0</v>
      </c>
      <c r="J40">
        <v>0</v>
      </c>
      <c r="K40">
        <v>0</v>
      </c>
      <c r="L40">
        <v>14.414569</v>
      </c>
      <c r="M40">
        <v>100</v>
      </c>
      <c r="N40">
        <v>219.695919</v>
      </c>
    </row>
    <row r="41" spans="1:14" x14ac:dyDescent="0.3">
      <c r="A41" t="s">
        <v>3</v>
      </c>
      <c r="B41" t="s">
        <v>12</v>
      </c>
      <c r="C41">
        <v>4.703036</v>
      </c>
      <c r="D41">
        <v>39.594504999999998</v>
      </c>
      <c r="E41">
        <v>77.674019000000001</v>
      </c>
      <c r="F41">
        <v>3.9760390000000001</v>
      </c>
      <c r="G41">
        <v>28.549699</v>
      </c>
      <c r="H41">
        <v>45.377090000000003</v>
      </c>
      <c r="I41">
        <v>0</v>
      </c>
      <c r="J41">
        <v>0</v>
      </c>
      <c r="K41">
        <v>0</v>
      </c>
      <c r="L41">
        <v>0.726997</v>
      </c>
      <c r="M41">
        <v>100</v>
      </c>
      <c r="N41">
        <v>254.31016299999999</v>
      </c>
    </row>
    <row r="42" spans="1:14" x14ac:dyDescent="0.3">
      <c r="A42" t="s">
        <v>3</v>
      </c>
      <c r="B42" t="s">
        <v>11</v>
      </c>
      <c r="C42">
        <v>16.892092000000002</v>
      </c>
      <c r="D42">
        <v>56.072719999999997</v>
      </c>
      <c r="E42">
        <v>106.671671</v>
      </c>
      <c r="F42">
        <v>8.3265480000000007</v>
      </c>
      <c r="G42">
        <v>10.884598</v>
      </c>
      <c r="H42">
        <v>7.1842509999999997</v>
      </c>
      <c r="I42">
        <v>0</v>
      </c>
      <c r="J42">
        <v>0</v>
      </c>
      <c r="K42">
        <v>0</v>
      </c>
      <c r="L42">
        <v>8.5655439999999992</v>
      </c>
      <c r="M42">
        <v>100</v>
      </c>
      <c r="N42">
        <v>203.38318699999999</v>
      </c>
    </row>
    <row r="43" spans="1:14" x14ac:dyDescent="0.3">
      <c r="A43" t="s">
        <v>3</v>
      </c>
      <c r="B43" t="s">
        <v>10</v>
      </c>
      <c r="C43">
        <v>3.7738299999999998</v>
      </c>
      <c r="D43">
        <v>75.777923000000001</v>
      </c>
      <c r="E43">
        <v>188.053066</v>
      </c>
      <c r="F43">
        <v>1.8271599999999999</v>
      </c>
      <c r="G43">
        <v>49.971541000000002</v>
      </c>
      <c r="H43">
        <v>44.189714000000002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>
        <v>323.08435600000001</v>
      </c>
    </row>
    <row r="44" spans="1:14" x14ac:dyDescent="0.3">
      <c r="A44" t="s">
        <v>3</v>
      </c>
      <c r="B44" t="s">
        <v>9</v>
      </c>
      <c r="C44">
        <v>9.0587280000000003</v>
      </c>
      <c r="D44">
        <v>42.175060000000002</v>
      </c>
      <c r="E44">
        <v>82.243695000000002</v>
      </c>
      <c r="F44">
        <v>6.0905389999999997</v>
      </c>
      <c r="G44">
        <v>13.994403999999999</v>
      </c>
      <c r="H44">
        <v>9.9801970000000004</v>
      </c>
      <c r="I44">
        <v>0</v>
      </c>
      <c r="J44">
        <v>0</v>
      </c>
      <c r="K44">
        <v>0</v>
      </c>
      <c r="L44">
        <v>2.9681899999999999</v>
      </c>
      <c r="M44">
        <v>100</v>
      </c>
      <c r="N44">
        <v>230.52386300000001</v>
      </c>
    </row>
    <row r="45" spans="1:14" x14ac:dyDescent="0.3">
      <c r="A45" t="s">
        <v>3</v>
      </c>
      <c r="B45" t="s">
        <v>8</v>
      </c>
      <c r="C45">
        <v>303.44588199999998</v>
      </c>
      <c r="D45">
        <v>3.4394010000000002</v>
      </c>
      <c r="E45">
        <v>2.7267359999999998</v>
      </c>
      <c r="F45">
        <v>124.62925</v>
      </c>
      <c r="G45">
        <v>6.0342479999999998</v>
      </c>
      <c r="H45">
        <v>4.7313679999999998</v>
      </c>
      <c r="I45">
        <v>23.593050000000002</v>
      </c>
      <c r="J45">
        <v>8.5020209999999992</v>
      </c>
      <c r="K45">
        <v>7.4836330000000002</v>
      </c>
      <c r="L45">
        <v>155.22358199999999</v>
      </c>
      <c r="M45">
        <v>0.586507</v>
      </c>
      <c r="N45">
        <v>0.39419399999999999</v>
      </c>
    </row>
    <row r="46" spans="1:14" x14ac:dyDescent="0.3">
      <c r="A46" t="s">
        <v>3</v>
      </c>
      <c r="B46" t="s">
        <v>7</v>
      </c>
      <c r="C46">
        <v>643.11932999999999</v>
      </c>
      <c r="D46">
        <v>26.652735</v>
      </c>
      <c r="E46">
        <v>22.866334999999999</v>
      </c>
      <c r="F46">
        <v>518.69763999999998</v>
      </c>
      <c r="G46">
        <v>22.817598</v>
      </c>
      <c r="H46">
        <v>18.374253</v>
      </c>
      <c r="I46">
        <v>0</v>
      </c>
      <c r="J46">
        <v>0</v>
      </c>
      <c r="K46">
        <v>0</v>
      </c>
      <c r="L46">
        <v>124.42169</v>
      </c>
      <c r="M46">
        <v>42.640917000000002</v>
      </c>
      <c r="N46">
        <v>41.593231000000003</v>
      </c>
    </row>
    <row r="47" spans="1:14" x14ac:dyDescent="0.3">
      <c r="A47" t="s">
        <v>3</v>
      </c>
      <c r="B47" t="s">
        <v>6</v>
      </c>
      <c r="C47">
        <v>33.064343999999998</v>
      </c>
      <c r="D47">
        <v>71.847938999999997</v>
      </c>
      <c r="E47">
        <v>212.29975899999999</v>
      </c>
      <c r="F47">
        <v>19.799917000000001</v>
      </c>
      <c r="G47">
        <v>52.988216000000001</v>
      </c>
      <c r="H47">
        <v>74.152861000000001</v>
      </c>
      <c r="I47">
        <v>0</v>
      </c>
      <c r="J47">
        <v>0</v>
      </c>
      <c r="K47">
        <v>0</v>
      </c>
      <c r="L47">
        <v>13.264427</v>
      </c>
      <c r="M47">
        <v>100</v>
      </c>
      <c r="N47">
        <v>418.51275700000002</v>
      </c>
    </row>
    <row r="48" spans="1:14" x14ac:dyDescent="0.3">
      <c r="A48" t="s">
        <v>3</v>
      </c>
      <c r="B48" t="s">
        <v>5</v>
      </c>
      <c r="C48">
        <v>24.247599999999998</v>
      </c>
      <c r="D48">
        <v>34.378660000000004</v>
      </c>
      <c r="E48">
        <v>119.713414</v>
      </c>
      <c r="F48">
        <v>10.4964</v>
      </c>
      <c r="G48">
        <v>51.068938000000003</v>
      </c>
      <c r="H48">
        <v>197.473062</v>
      </c>
      <c r="I48">
        <v>0.1326</v>
      </c>
      <c r="J48">
        <v>31.070889999999999</v>
      </c>
      <c r="K48">
        <v>41.133139</v>
      </c>
      <c r="L48">
        <v>13.618600000000001</v>
      </c>
      <c r="M48">
        <v>21.547001999999999</v>
      </c>
      <c r="N48">
        <v>60.546052000000003</v>
      </c>
    </row>
    <row r="49" spans="1:14" x14ac:dyDescent="0.3">
      <c r="A49" t="s">
        <v>3</v>
      </c>
      <c r="B49" t="s">
        <v>4</v>
      </c>
      <c r="C49">
        <v>97.773409999999998</v>
      </c>
      <c r="D49">
        <v>98.190848000000003</v>
      </c>
      <c r="E49">
        <v>236.956502</v>
      </c>
      <c r="F49">
        <v>74.459490000000002</v>
      </c>
      <c r="G49">
        <v>97.624386000000001</v>
      </c>
      <c r="H49">
        <v>211.45831200000001</v>
      </c>
      <c r="I49">
        <v>0</v>
      </c>
      <c r="J49">
        <v>0</v>
      </c>
      <c r="K49">
        <v>0</v>
      </c>
      <c r="L49">
        <v>23.31392</v>
      </c>
      <c r="M49">
        <v>100</v>
      </c>
      <c r="N49">
        <v>318.392065</v>
      </c>
    </row>
    <row r="50" spans="1:14" x14ac:dyDescent="0.3">
      <c r="A50" t="s">
        <v>3</v>
      </c>
      <c r="B50" t="s">
        <v>2</v>
      </c>
      <c r="C50">
        <v>71.069734999999994</v>
      </c>
      <c r="D50">
        <v>6.431095</v>
      </c>
      <c r="E50">
        <v>9.5946680000000004</v>
      </c>
      <c r="F50">
        <v>19.14141</v>
      </c>
      <c r="G50">
        <v>17.961372999999998</v>
      </c>
      <c r="H50">
        <v>27.444970999999999</v>
      </c>
      <c r="I50">
        <v>0.71511499999999995</v>
      </c>
      <c r="J50">
        <v>0.36106100000000002</v>
      </c>
      <c r="K50">
        <v>0.137742</v>
      </c>
      <c r="L50">
        <v>51.213209999999997</v>
      </c>
      <c r="M50">
        <v>2.2063060000000001</v>
      </c>
      <c r="N50">
        <v>3.055005</v>
      </c>
    </row>
    <row r="51" spans="1:14" x14ac:dyDescent="0.3">
      <c r="A51" t="s">
        <v>1</v>
      </c>
      <c r="C51">
        <v>1330.663237</v>
      </c>
      <c r="D51">
        <v>32.716335000000001</v>
      </c>
      <c r="E51">
        <v>57.277386</v>
      </c>
      <c r="F51">
        <v>877.13016800000003</v>
      </c>
      <c r="G51">
        <v>33.136482999999998</v>
      </c>
      <c r="H51">
        <v>49.447937000000003</v>
      </c>
      <c r="I51">
        <v>24.440764999999999</v>
      </c>
      <c r="J51">
        <v>8.3862679999999994</v>
      </c>
      <c r="K51">
        <v>7.4512600000000004</v>
      </c>
      <c r="L51">
        <v>429.09230400000001</v>
      </c>
      <c r="M51">
        <v>33.243310999999999</v>
      </c>
      <c r="N51">
        <v>76.120033000000006</v>
      </c>
    </row>
    <row r="52" spans="1:14" x14ac:dyDescent="0.3">
      <c r="A52" t="s">
        <v>0</v>
      </c>
      <c r="C52">
        <v>2776.2320030000001</v>
      </c>
      <c r="D52">
        <v>43.659238999999999</v>
      </c>
      <c r="E52">
        <v>99.295958999999996</v>
      </c>
      <c r="F52">
        <v>1804.9447500000001</v>
      </c>
      <c r="G52">
        <v>37.354703000000001</v>
      </c>
      <c r="H52">
        <v>76.007473000000005</v>
      </c>
      <c r="I52">
        <v>32.658534000000003</v>
      </c>
      <c r="J52">
        <v>8.0105830000000005</v>
      </c>
      <c r="K52">
        <v>11.910436000000001</v>
      </c>
      <c r="L52">
        <v>938.62871900000005</v>
      </c>
      <c r="M52">
        <v>57.022959999999998</v>
      </c>
      <c r="N52">
        <v>147.11924999999999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89F6-B605-4B5A-AC3C-80FCFC50C9EA}">
  <dimension ref="A2:N52"/>
  <sheetViews>
    <sheetView workbookViewId="0">
      <selection activeCell="G10" sqref="G10"/>
    </sheetView>
  </sheetViews>
  <sheetFormatPr defaultRowHeight="14.4" x14ac:dyDescent="0.3"/>
  <cols>
    <col min="3" max="14" width="29.5546875" customWidth="1"/>
  </cols>
  <sheetData>
    <row r="2" spans="1:14" x14ac:dyDescent="0.3">
      <c r="A2" t="s">
        <v>62</v>
      </c>
    </row>
    <row r="3" spans="1:14" x14ac:dyDescent="0.3">
      <c r="A3" t="s">
        <v>69</v>
      </c>
      <c r="F3" t="s">
        <v>76</v>
      </c>
      <c r="G3">
        <v>34</v>
      </c>
      <c r="H3" t="s">
        <v>77</v>
      </c>
      <c r="I3" t="s">
        <v>79</v>
      </c>
    </row>
    <row r="4" spans="1:14" x14ac:dyDescent="0.3">
      <c r="A4" t="s">
        <v>60</v>
      </c>
      <c r="F4" t="s">
        <v>72</v>
      </c>
      <c r="G4">
        <v>3</v>
      </c>
      <c r="H4" t="s">
        <v>73</v>
      </c>
    </row>
    <row r="5" spans="1:14" x14ac:dyDescent="0.3">
      <c r="A5" t="s">
        <v>59</v>
      </c>
      <c r="F5" t="s">
        <v>70</v>
      </c>
      <c r="G5">
        <f>'bio_critical_load (2)'!H10-'bio_critical_load (8)'!H10</f>
        <v>69.350437999999997</v>
      </c>
      <c r="H5" t="s">
        <v>71</v>
      </c>
    </row>
    <row r="6" spans="1:14" x14ac:dyDescent="0.3">
      <c r="A6" t="s">
        <v>58</v>
      </c>
      <c r="F6" t="s">
        <v>74</v>
      </c>
      <c r="G6">
        <f>G5*'bio_critical_load (2)'!F10*(1-'bio_critical_load (2)'!G10/100)*'bio_critical_load (8)'!G4</f>
        <v>5251.1881144216522</v>
      </c>
    </row>
    <row r="7" spans="1:14" x14ac:dyDescent="0.3">
      <c r="A7" t="s">
        <v>57</v>
      </c>
      <c r="F7" t="s">
        <v>75</v>
      </c>
      <c r="G7">
        <f>G3*G6</f>
        <v>178540.39589033616</v>
      </c>
      <c r="H7" t="s">
        <v>78</v>
      </c>
    </row>
    <row r="9" spans="1:14" x14ac:dyDescent="0.3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3">
      <c r="A10" t="s">
        <v>18</v>
      </c>
      <c r="B10" t="s">
        <v>44</v>
      </c>
      <c r="C10">
        <v>50.48854</v>
      </c>
      <c r="D10">
        <v>14.985341</v>
      </c>
      <c r="E10">
        <v>24.804493000000001</v>
      </c>
      <c r="F10">
        <v>39.292830000000002</v>
      </c>
      <c r="G10">
        <v>14.854668999999999</v>
      </c>
      <c r="H10">
        <v>28.039793</v>
      </c>
      <c r="I10">
        <v>5.1999999999999995E-4</v>
      </c>
      <c r="J10">
        <v>0</v>
      </c>
      <c r="K10">
        <v>0</v>
      </c>
      <c r="L10">
        <v>11.19519</v>
      </c>
      <c r="M10">
        <v>15.441452999999999</v>
      </c>
      <c r="N10">
        <v>13.436239</v>
      </c>
    </row>
    <row r="11" spans="1:14" x14ac:dyDescent="0.3">
      <c r="A11" t="s">
        <v>18</v>
      </c>
      <c r="B11" t="s">
        <v>43</v>
      </c>
      <c r="C11">
        <v>15.55151</v>
      </c>
      <c r="D11">
        <v>41.277020999999998</v>
      </c>
      <c r="E11">
        <v>301.85925700000001</v>
      </c>
      <c r="F11">
        <v>12.818580000000001</v>
      </c>
      <c r="G11">
        <v>45.703423999999998</v>
      </c>
      <c r="H11">
        <v>348.57397200000003</v>
      </c>
      <c r="I11">
        <v>0.13514999999999999</v>
      </c>
      <c r="J11">
        <v>9.5745470000000008</v>
      </c>
      <c r="K11">
        <v>13.752205</v>
      </c>
      <c r="L11">
        <v>2.5977800000000002</v>
      </c>
      <c r="M11">
        <v>21.084541000000002</v>
      </c>
      <c r="N11">
        <v>86.337294</v>
      </c>
    </row>
    <row r="12" spans="1:14" x14ac:dyDescent="0.3">
      <c r="A12" t="s">
        <v>18</v>
      </c>
      <c r="B12" t="s">
        <v>42</v>
      </c>
      <c r="C12">
        <v>54.322257</v>
      </c>
      <c r="D12">
        <v>39.287390000000002</v>
      </c>
      <c r="E12">
        <v>81.655365000000003</v>
      </c>
      <c r="F12">
        <v>37.227128</v>
      </c>
      <c r="G12">
        <v>11.407456</v>
      </c>
      <c r="H12">
        <v>7.8300780000000003</v>
      </c>
      <c r="I12">
        <v>0</v>
      </c>
      <c r="J12">
        <v>0</v>
      </c>
      <c r="K12">
        <v>0</v>
      </c>
      <c r="L12">
        <v>17.095129</v>
      </c>
      <c r="M12">
        <v>100</v>
      </c>
      <c r="N12">
        <v>242.420661</v>
      </c>
    </row>
    <row r="13" spans="1:14" x14ac:dyDescent="0.3">
      <c r="A13" t="s">
        <v>18</v>
      </c>
      <c r="B13" t="s">
        <v>41</v>
      </c>
      <c r="C13">
        <v>36.410994000000002</v>
      </c>
      <c r="D13">
        <v>64.155242999999999</v>
      </c>
      <c r="E13">
        <v>168.798237</v>
      </c>
      <c r="F13">
        <v>19.764983000000001</v>
      </c>
      <c r="G13">
        <v>33.966892999999999</v>
      </c>
      <c r="H13">
        <v>41.639882</v>
      </c>
      <c r="I13">
        <v>0</v>
      </c>
      <c r="J13">
        <v>0</v>
      </c>
      <c r="K13">
        <v>0</v>
      </c>
      <c r="L13">
        <v>16.646011000000001</v>
      </c>
      <c r="M13">
        <v>100</v>
      </c>
      <c r="N13">
        <v>319.78232400000002</v>
      </c>
    </row>
    <row r="14" spans="1:14" x14ac:dyDescent="0.3">
      <c r="A14" t="s">
        <v>18</v>
      </c>
      <c r="B14" t="s">
        <v>40</v>
      </c>
      <c r="C14">
        <v>1.69143</v>
      </c>
      <c r="D14">
        <v>100</v>
      </c>
      <c r="E14">
        <v>303.16240499999998</v>
      </c>
      <c r="F14">
        <v>0.65830999999999995</v>
      </c>
      <c r="G14">
        <v>100</v>
      </c>
      <c r="H14">
        <v>328.24220800000001</v>
      </c>
      <c r="I14">
        <v>0</v>
      </c>
      <c r="J14">
        <v>0</v>
      </c>
      <c r="K14">
        <v>0</v>
      </c>
      <c r="L14">
        <v>1.03312</v>
      </c>
      <c r="M14">
        <v>100</v>
      </c>
      <c r="N14">
        <v>287.18141100000003</v>
      </c>
    </row>
    <row r="15" spans="1:14" x14ac:dyDescent="0.3">
      <c r="A15" t="s">
        <v>18</v>
      </c>
      <c r="B15" t="s">
        <v>39</v>
      </c>
      <c r="C15">
        <v>23.831250000000001</v>
      </c>
      <c r="D15">
        <v>32.308419000000001</v>
      </c>
      <c r="E15">
        <v>30.621686</v>
      </c>
      <c r="F15">
        <v>23.71875</v>
      </c>
      <c r="G15">
        <v>32.321475999999997</v>
      </c>
      <c r="H15">
        <v>30.618744</v>
      </c>
      <c r="I15">
        <v>0</v>
      </c>
      <c r="J15">
        <v>0</v>
      </c>
      <c r="K15">
        <v>0</v>
      </c>
      <c r="L15">
        <v>0.1125</v>
      </c>
      <c r="M15">
        <v>29.555555999999999</v>
      </c>
      <c r="N15">
        <v>31.241955000000001</v>
      </c>
    </row>
    <row r="16" spans="1:14" x14ac:dyDescent="0.3">
      <c r="A16" t="s">
        <v>18</v>
      </c>
      <c r="B16" t="s">
        <v>38</v>
      </c>
      <c r="C16">
        <v>6.6650200000000002</v>
      </c>
      <c r="D16">
        <v>98.740289000000004</v>
      </c>
      <c r="E16">
        <v>386.36007899999998</v>
      </c>
      <c r="F16">
        <v>3.79548</v>
      </c>
      <c r="G16">
        <v>97.787895000000006</v>
      </c>
      <c r="H16">
        <v>308.86182400000001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>
        <v>488.865385</v>
      </c>
    </row>
    <row r="17" spans="1:14" x14ac:dyDescent="0.3">
      <c r="A17" t="s">
        <v>18</v>
      </c>
      <c r="B17" t="s">
        <v>37</v>
      </c>
      <c r="C17">
        <v>30.592469999999999</v>
      </c>
      <c r="D17">
        <v>17.486395000000002</v>
      </c>
      <c r="E17">
        <v>11.230676000000001</v>
      </c>
      <c r="F17">
        <v>21.647210000000001</v>
      </c>
      <c r="G17">
        <v>2.3698E-2</v>
      </c>
      <c r="H17">
        <v>3.0270000000000002E-3</v>
      </c>
      <c r="I17">
        <v>0</v>
      </c>
      <c r="J17">
        <v>0</v>
      </c>
      <c r="K17">
        <v>0</v>
      </c>
      <c r="L17">
        <v>8.9452599999999993</v>
      </c>
      <c r="M17">
        <v>59.745496000000003</v>
      </c>
      <c r="N17">
        <v>38.401186000000003</v>
      </c>
    </row>
    <row r="18" spans="1:14" x14ac:dyDescent="0.3">
      <c r="A18" t="s">
        <v>18</v>
      </c>
      <c r="B18" t="s">
        <v>36</v>
      </c>
      <c r="C18">
        <v>41.047379999999997</v>
      </c>
      <c r="D18">
        <v>1.7346E-2</v>
      </c>
      <c r="E18">
        <v>2.9369999999999999E-3</v>
      </c>
      <c r="F18">
        <v>17.296330000000001</v>
      </c>
      <c r="G18">
        <v>0</v>
      </c>
      <c r="H18">
        <v>0</v>
      </c>
      <c r="I18">
        <v>6.7621799999999999</v>
      </c>
      <c r="J18">
        <v>0.105291</v>
      </c>
      <c r="K18">
        <v>1.7826000000000002E-2</v>
      </c>
      <c r="L18">
        <v>16.988869999999999</v>
      </c>
      <c r="M18">
        <v>0</v>
      </c>
      <c r="N18">
        <v>0</v>
      </c>
    </row>
    <row r="19" spans="1:14" x14ac:dyDescent="0.3">
      <c r="A19" t="s">
        <v>18</v>
      </c>
      <c r="B19" t="s">
        <v>35</v>
      </c>
      <c r="C19">
        <v>176.93678</v>
      </c>
      <c r="D19">
        <v>43.027306000000003</v>
      </c>
      <c r="E19">
        <v>73.684877999999998</v>
      </c>
      <c r="F19">
        <v>170.24708000000001</v>
      </c>
      <c r="G19">
        <v>42.153387000000002</v>
      </c>
      <c r="H19">
        <v>74.992763999999994</v>
      </c>
      <c r="I19">
        <v>0</v>
      </c>
      <c r="J19">
        <v>0</v>
      </c>
      <c r="K19">
        <v>0</v>
      </c>
      <c r="L19">
        <v>6.6897000000000002</v>
      </c>
      <c r="M19">
        <v>65.267799999999994</v>
      </c>
      <c r="N19">
        <v>40.400300000000001</v>
      </c>
    </row>
    <row r="20" spans="1:14" x14ac:dyDescent="0.3">
      <c r="A20" t="s">
        <v>18</v>
      </c>
      <c r="B20" t="s">
        <v>34</v>
      </c>
      <c r="C20">
        <v>103.988407</v>
      </c>
      <c r="D20">
        <v>49.869438000000002</v>
      </c>
      <c r="E20">
        <v>186.736402</v>
      </c>
      <c r="F20">
        <v>100.829339</v>
      </c>
      <c r="G20">
        <v>50.574286999999998</v>
      </c>
      <c r="H20">
        <v>188.07780500000001</v>
      </c>
      <c r="I20">
        <v>0.10688300000000001</v>
      </c>
      <c r="J20">
        <v>2.5683020000000001</v>
      </c>
      <c r="K20">
        <v>2.018675</v>
      </c>
      <c r="L20">
        <v>3.0521859999999998</v>
      </c>
      <c r="M20">
        <v>28.241094</v>
      </c>
      <c r="N20">
        <v>148.89152999999999</v>
      </c>
    </row>
    <row r="21" spans="1:14" x14ac:dyDescent="0.3">
      <c r="A21" t="s">
        <v>18</v>
      </c>
      <c r="B21" t="s">
        <v>33</v>
      </c>
      <c r="C21">
        <v>77.844376999999994</v>
      </c>
      <c r="D21">
        <v>99.836494999999999</v>
      </c>
      <c r="E21">
        <v>266.386099</v>
      </c>
      <c r="F21">
        <v>24.488047999999999</v>
      </c>
      <c r="G21">
        <v>99.480238</v>
      </c>
      <c r="H21">
        <v>248.343647</v>
      </c>
      <c r="I21">
        <v>0</v>
      </c>
      <c r="J21">
        <v>0</v>
      </c>
      <c r="K21">
        <v>0</v>
      </c>
      <c r="L21">
        <v>53.356329000000002</v>
      </c>
      <c r="M21">
        <v>100</v>
      </c>
      <c r="N21">
        <v>274.66673700000001</v>
      </c>
    </row>
    <row r="22" spans="1:14" x14ac:dyDescent="0.3">
      <c r="A22" t="s">
        <v>18</v>
      </c>
      <c r="B22" t="s">
        <v>32</v>
      </c>
      <c r="C22">
        <v>30.007339999999999</v>
      </c>
      <c r="D22">
        <v>66.474203000000003</v>
      </c>
      <c r="E22">
        <v>226.622173</v>
      </c>
      <c r="F22">
        <v>17.34768</v>
      </c>
      <c r="G22">
        <v>42.008384</v>
      </c>
      <c r="H22">
        <v>86.254137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>
        <v>418.97013199999998</v>
      </c>
    </row>
    <row r="23" spans="1:14" x14ac:dyDescent="0.3">
      <c r="A23" t="s">
        <v>18</v>
      </c>
      <c r="B23" t="s">
        <v>31</v>
      </c>
      <c r="C23">
        <v>16.776014</v>
      </c>
      <c r="D23">
        <v>35.030259999999998</v>
      </c>
      <c r="E23">
        <v>71.199627000000007</v>
      </c>
      <c r="F23">
        <v>6.7206710000000003</v>
      </c>
      <c r="G23">
        <v>29.18966</v>
      </c>
      <c r="H23">
        <v>87.407729000000003</v>
      </c>
      <c r="I23">
        <v>0.405416</v>
      </c>
      <c r="J23">
        <v>30.016098</v>
      </c>
      <c r="K23">
        <v>28.167258</v>
      </c>
      <c r="L23">
        <v>9.6499269999999999</v>
      </c>
      <c r="M23">
        <v>39.308588999999998</v>
      </c>
      <c r="N23">
        <v>61.719417</v>
      </c>
    </row>
    <row r="24" spans="1:14" x14ac:dyDescent="0.3">
      <c r="A24" t="s">
        <v>18</v>
      </c>
      <c r="B24" t="s">
        <v>30</v>
      </c>
      <c r="C24">
        <v>105.81456</v>
      </c>
      <c r="D24">
        <v>31.674264000000001</v>
      </c>
      <c r="E24">
        <v>100.806088</v>
      </c>
      <c r="F24">
        <v>71.252656000000002</v>
      </c>
      <c r="G24">
        <v>31.610797999999999</v>
      </c>
      <c r="H24">
        <v>106.384865</v>
      </c>
      <c r="I24">
        <v>0.40653800000000001</v>
      </c>
      <c r="J24">
        <v>57.210791</v>
      </c>
      <c r="K24">
        <v>316.933986</v>
      </c>
      <c r="L24">
        <v>34.155366000000001</v>
      </c>
      <c r="M24">
        <v>31.502711999999999</v>
      </c>
      <c r="N24">
        <v>86.595527000000004</v>
      </c>
    </row>
    <row r="25" spans="1:14" x14ac:dyDescent="0.3">
      <c r="A25" t="s">
        <v>18</v>
      </c>
      <c r="B25" t="s">
        <v>29</v>
      </c>
      <c r="C25">
        <v>44.159300000000002</v>
      </c>
      <c r="D25">
        <v>43.010170000000002</v>
      </c>
      <c r="E25">
        <v>57.873859000000003</v>
      </c>
      <c r="F25">
        <v>27.068470000000001</v>
      </c>
      <c r="G25">
        <v>7.0783459999999998</v>
      </c>
      <c r="H25">
        <v>3.6289639999999999</v>
      </c>
      <c r="I25">
        <v>0</v>
      </c>
      <c r="J25">
        <v>0</v>
      </c>
      <c r="K25">
        <v>0</v>
      </c>
      <c r="L25">
        <v>17.09083</v>
      </c>
      <c r="M25">
        <v>99.919021000000001</v>
      </c>
      <c r="N25">
        <v>143.786967</v>
      </c>
    </row>
    <row r="26" spans="1:14" x14ac:dyDescent="0.3">
      <c r="A26" t="s">
        <v>18</v>
      </c>
      <c r="B26" t="s">
        <v>28</v>
      </c>
      <c r="C26">
        <v>26.352419999999999</v>
      </c>
      <c r="D26">
        <v>67.091334000000003</v>
      </c>
      <c r="E26">
        <v>106.892687</v>
      </c>
      <c r="F26">
        <v>18.734549999999999</v>
      </c>
      <c r="G26">
        <v>53.709963999999999</v>
      </c>
      <c r="H26">
        <v>54.747844000000001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>
        <v>235.131968</v>
      </c>
    </row>
    <row r="27" spans="1:14" x14ac:dyDescent="0.3">
      <c r="A27" t="s">
        <v>18</v>
      </c>
      <c r="B27" t="s">
        <v>27</v>
      </c>
      <c r="C27">
        <v>1.37738</v>
      </c>
      <c r="D27">
        <v>94.965805000000003</v>
      </c>
      <c r="E27">
        <v>342.28269799999998</v>
      </c>
      <c r="F27">
        <v>0.92057</v>
      </c>
      <c r="G27">
        <v>92.467709999999997</v>
      </c>
      <c r="H27">
        <v>266.705333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>
        <v>494.58727800000003</v>
      </c>
    </row>
    <row r="28" spans="1:14" x14ac:dyDescent="0.3">
      <c r="A28" t="s">
        <v>18</v>
      </c>
      <c r="B28" t="s">
        <v>26</v>
      </c>
      <c r="C28">
        <v>3.4549999999999997E-2</v>
      </c>
      <c r="D28">
        <v>100</v>
      </c>
      <c r="E28">
        <v>487.96075000000002</v>
      </c>
      <c r="F28">
        <v>2E-3</v>
      </c>
      <c r="G28">
        <v>100</v>
      </c>
      <c r="H28">
        <v>348.94032900000002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>
        <v>496.50271099999998</v>
      </c>
    </row>
    <row r="29" spans="1:14" x14ac:dyDescent="0.3">
      <c r="A29" t="s">
        <v>18</v>
      </c>
      <c r="B29" t="s">
        <v>25</v>
      </c>
      <c r="C29">
        <v>2.9764879999999998</v>
      </c>
      <c r="D29">
        <v>65.723383999999996</v>
      </c>
      <c r="E29">
        <v>433.60741899999999</v>
      </c>
      <c r="F29">
        <v>2.016947</v>
      </c>
      <c r="G29">
        <v>79.190304999999995</v>
      </c>
      <c r="H29">
        <v>545.46999700000003</v>
      </c>
      <c r="I29">
        <v>0.40108300000000002</v>
      </c>
      <c r="J29">
        <v>17.663544000000002</v>
      </c>
      <c r="K29">
        <v>107.589803</v>
      </c>
      <c r="L29">
        <v>0.55845699999999998</v>
      </c>
      <c r="M29">
        <v>51.602184999999999</v>
      </c>
      <c r="N29">
        <v>263.74519099999998</v>
      </c>
    </row>
    <row r="30" spans="1:14" x14ac:dyDescent="0.3">
      <c r="A30" t="s">
        <v>18</v>
      </c>
      <c r="B30" t="s">
        <v>24</v>
      </c>
      <c r="C30">
        <v>95.928974999999994</v>
      </c>
      <c r="D30">
        <v>21.258538999999999</v>
      </c>
      <c r="E30">
        <v>30.005852000000001</v>
      </c>
      <c r="F30">
        <v>94.397018000000003</v>
      </c>
      <c r="G30">
        <v>20.779771</v>
      </c>
      <c r="H30">
        <v>28.856227000000001</v>
      </c>
      <c r="I30">
        <v>0</v>
      </c>
      <c r="J30">
        <v>0</v>
      </c>
      <c r="K30">
        <v>0</v>
      </c>
      <c r="L30">
        <v>1.531957</v>
      </c>
      <c r="M30">
        <v>50.759554000000001</v>
      </c>
      <c r="N30">
        <v>100.84413000000001</v>
      </c>
    </row>
    <row r="31" spans="1:14" x14ac:dyDescent="0.3">
      <c r="A31" t="s">
        <v>18</v>
      </c>
      <c r="B31" t="s">
        <v>23</v>
      </c>
      <c r="C31">
        <v>42.007702999999999</v>
      </c>
      <c r="D31">
        <v>61.123741000000003</v>
      </c>
      <c r="E31">
        <v>89.012317999999993</v>
      </c>
      <c r="F31">
        <v>22.885097999999999</v>
      </c>
      <c r="G31">
        <v>28.642326000000001</v>
      </c>
      <c r="H31">
        <v>38.198464999999999</v>
      </c>
      <c r="I31">
        <v>0</v>
      </c>
      <c r="J31">
        <v>0</v>
      </c>
      <c r="K31">
        <v>0</v>
      </c>
      <c r="L31">
        <v>19.122606000000001</v>
      </c>
      <c r="M31">
        <v>99.996077999999997</v>
      </c>
      <c r="N31">
        <v>149.82411400000001</v>
      </c>
    </row>
    <row r="32" spans="1:14" x14ac:dyDescent="0.3">
      <c r="A32" t="s">
        <v>18</v>
      </c>
      <c r="B32" t="s">
        <v>22</v>
      </c>
      <c r="C32">
        <v>109.33327800000001</v>
      </c>
      <c r="D32">
        <v>69.890486999999993</v>
      </c>
      <c r="E32">
        <v>154.51861</v>
      </c>
      <c r="F32">
        <v>71.566817999999998</v>
      </c>
      <c r="G32">
        <v>54.001423000000003</v>
      </c>
      <c r="H32">
        <v>68.614063000000002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>
        <v>317.306307</v>
      </c>
    </row>
    <row r="33" spans="1:14" x14ac:dyDescent="0.3">
      <c r="A33" t="s">
        <v>18</v>
      </c>
      <c r="B33" t="s">
        <v>21</v>
      </c>
      <c r="C33">
        <v>26.799309999999998</v>
      </c>
      <c r="D33">
        <v>63.051063999999997</v>
      </c>
      <c r="E33">
        <v>97.492114999999998</v>
      </c>
      <c r="F33">
        <v>20.655619999999999</v>
      </c>
      <c r="G33">
        <v>52.063119</v>
      </c>
      <c r="H33">
        <v>54.657328999999997</v>
      </c>
      <c r="I33">
        <v>0</v>
      </c>
      <c r="J33">
        <v>0</v>
      </c>
      <c r="K33">
        <v>0</v>
      </c>
      <c r="L33">
        <v>6.1436900000000003</v>
      </c>
      <c r="M33">
        <v>99.993488999999997</v>
      </c>
      <c r="N33">
        <v>241.506393</v>
      </c>
    </row>
    <row r="34" spans="1:14" x14ac:dyDescent="0.3">
      <c r="A34" t="s">
        <v>18</v>
      </c>
      <c r="B34" t="s">
        <v>20</v>
      </c>
      <c r="C34">
        <v>14.066174</v>
      </c>
      <c r="D34">
        <v>41.738956999999999</v>
      </c>
      <c r="E34">
        <v>116.32488499999999</v>
      </c>
      <c r="F34">
        <v>10.980017</v>
      </c>
      <c r="G34">
        <v>25.373522999999999</v>
      </c>
      <c r="H34">
        <v>47.873488000000002</v>
      </c>
      <c r="I34">
        <v>0</v>
      </c>
      <c r="J34">
        <v>0</v>
      </c>
      <c r="K34">
        <v>0</v>
      </c>
      <c r="L34">
        <v>3.086157</v>
      </c>
      <c r="M34">
        <v>99.964357000000007</v>
      </c>
      <c r="N34">
        <v>359.86319900000001</v>
      </c>
    </row>
    <row r="35" spans="1:14" x14ac:dyDescent="0.3">
      <c r="A35" t="s">
        <v>18</v>
      </c>
      <c r="B35" t="s">
        <v>19</v>
      </c>
      <c r="C35">
        <v>251.921649</v>
      </c>
      <c r="D35">
        <v>82.031564000000003</v>
      </c>
      <c r="E35">
        <v>220.006733</v>
      </c>
      <c r="F35">
        <v>91.482399999999998</v>
      </c>
      <c r="G35">
        <v>50.519029000000003</v>
      </c>
      <c r="H35">
        <v>135.496861</v>
      </c>
      <c r="I35">
        <v>0</v>
      </c>
      <c r="J35">
        <v>0</v>
      </c>
      <c r="K35">
        <v>0</v>
      </c>
      <c r="L35">
        <v>160.43924999999999</v>
      </c>
      <c r="M35">
        <v>100</v>
      </c>
      <c r="N35">
        <v>268.194231</v>
      </c>
    </row>
    <row r="36" spans="1:14" x14ac:dyDescent="0.3">
      <c r="A36" t="s">
        <v>18</v>
      </c>
      <c r="B36" t="s">
        <v>17</v>
      </c>
      <c r="C36">
        <v>58.643210000000003</v>
      </c>
      <c r="D36">
        <v>5.9918279999999999</v>
      </c>
      <c r="E36">
        <v>5.5848690000000003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58.643210000000003</v>
      </c>
      <c r="M36">
        <v>5.9918279999999999</v>
      </c>
      <c r="N36">
        <v>5.5848690000000003</v>
      </c>
    </row>
    <row r="37" spans="1:14" x14ac:dyDescent="0.3">
      <c r="A37" t="s">
        <v>16</v>
      </c>
      <c r="C37">
        <v>1445.568767</v>
      </c>
      <c r="D37">
        <v>51.222349000000001</v>
      </c>
      <c r="E37">
        <v>126.737735</v>
      </c>
      <c r="F37">
        <v>927.81458199999997</v>
      </c>
      <c r="G37">
        <v>38.002324999999999</v>
      </c>
      <c r="H37">
        <v>87.630382999999995</v>
      </c>
      <c r="I37">
        <v>8.2177690000000005</v>
      </c>
      <c r="J37">
        <v>5.455057</v>
      </c>
      <c r="K37">
        <v>22.606017000000001</v>
      </c>
      <c r="L37">
        <v>509.53641499999998</v>
      </c>
      <c r="M37">
        <v>76.032816999999994</v>
      </c>
      <c r="N37">
        <v>199.62772000000001</v>
      </c>
    </row>
    <row r="38" spans="1:14" x14ac:dyDescent="0.3">
      <c r="A38" t="s">
        <v>3</v>
      </c>
      <c r="B38" t="s">
        <v>15</v>
      </c>
      <c r="C38">
        <v>19.970838000000001</v>
      </c>
      <c r="D38">
        <v>85.287593999999999</v>
      </c>
      <c r="E38">
        <v>267.203532</v>
      </c>
      <c r="F38">
        <v>7.4283419999999998</v>
      </c>
      <c r="G38">
        <v>60.446210999999998</v>
      </c>
      <c r="H38">
        <v>89.775678999999997</v>
      </c>
      <c r="I38">
        <v>0</v>
      </c>
      <c r="J38">
        <v>0</v>
      </c>
      <c r="K38">
        <v>0</v>
      </c>
      <c r="L38">
        <v>12.542496</v>
      </c>
      <c r="M38">
        <v>100</v>
      </c>
      <c r="N38">
        <v>372.28587099999999</v>
      </c>
    </row>
    <row r="39" spans="1:14" x14ac:dyDescent="0.3">
      <c r="A39" t="s">
        <v>3</v>
      </c>
      <c r="B39" t="s">
        <v>14</v>
      </c>
      <c r="C39">
        <v>66.500259999999997</v>
      </c>
      <c r="D39">
        <v>85.032027999999997</v>
      </c>
      <c r="E39">
        <v>134.119809</v>
      </c>
      <c r="F39">
        <v>59.627850000000002</v>
      </c>
      <c r="G39">
        <v>83.306894</v>
      </c>
      <c r="H39">
        <v>116.53372299999999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>
        <v>286.70391000000001</v>
      </c>
    </row>
    <row r="40" spans="1:14" x14ac:dyDescent="0.3">
      <c r="A40" t="s">
        <v>3</v>
      </c>
      <c r="B40" t="s">
        <v>13</v>
      </c>
      <c r="C40">
        <v>37.044150999999999</v>
      </c>
      <c r="D40">
        <v>61.321176000000001</v>
      </c>
      <c r="E40">
        <v>109.504239</v>
      </c>
      <c r="F40">
        <v>22.629581999999999</v>
      </c>
      <c r="G40">
        <v>36.683577</v>
      </c>
      <c r="H40">
        <v>47.006782999999999</v>
      </c>
      <c r="I40">
        <v>0</v>
      </c>
      <c r="J40">
        <v>0</v>
      </c>
      <c r="K40">
        <v>0</v>
      </c>
      <c r="L40">
        <v>14.414569</v>
      </c>
      <c r="M40">
        <v>100</v>
      </c>
      <c r="N40">
        <v>207.61964800000001</v>
      </c>
    </row>
    <row r="41" spans="1:14" x14ac:dyDescent="0.3">
      <c r="A41" t="s">
        <v>3</v>
      </c>
      <c r="B41" t="s">
        <v>12</v>
      </c>
      <c r="C41">
        <v>4.703036</v>
      </c>
      <c r="D41">
        <v>39.251536000000002</v>
      </c>
      <c r="E41">
        <v>74.658807999999993</v>
      </c>
      <c r="F41">
        <v>3.9760390000000001</v>
      </c>
      <c r="G41">
        <v>28.144019</v>
      </c>
      <c r="H41">
        <v>43.035443000000001</v>
      </c>
      <c r="I41">
        <v>0</v>
      </c>
      <c r="J41">
        <v>0</v>
      </c>
      <c r="K41">
        <v>0</v>
      </c>
      <c r="L41">
        <v>0.726997</v>
      </c>
      <c r="M41">
        <v>100</v>
      </c>
      <c r="N41">
        <v>247.61113900000001</v>
      </c>
    </row>
    <row r="42" spans="1:14" x14ac:dyDescent="0.3">
      <c r="A42" t="s">
        <v>3</v>
      </c>
      <c r="B42" t="s">
        <v>11</v>
      </c>
      <c r="C42">
        <v>16.892092000000002</v>
      </c>
      <c r="D42">
        <v>55.892932000000002</v>
      </c>
      <c r="E42">
        <v>104.174592</v>
      </c>
      <c r="F42">
        <v>8.3265480000000007</v>
      </c>
      <c r="G42">
        <v>10.519861000000001</v>
      </c>
      <c r="H42">
        <v>6.5437890000000003</v>
      </c>
      <c r="I42">
        <v>0</v>
      </c>
      <c r="J42">
        <v>0</v>
      </c>
      <c r="K42">
        <v>0</v>
      </c>
      <c r="L42">
        <v>8.5655439999999992</v>
      </c>
      <c r="M42">
        <v>100</v>
      </c>
      <c r="N42">
        <v>199.08129400000001</v>
      </c>
    </row>
    <row r="43" spans="1:14" x14ac:dyDescent="0.3">
      <c r="A43" t="s">
        <v>3</v>
      </c>
      <c r="B43" t="s">
        <v>10</v>
      </c>
      <c r="C43">
        <v>3.7738299999999998</v>
      </c>
      <c r="D43">
        <v>70.212490000000003</v>
      </c>
      <c r="E43">
        <v>167.44127599999999</v>
      </c>
      <c r="F43">
        <v>1.8271599999999999</v>
      </c>
      <c r="G43">
        <v>38.476652000000001</v>
      </c>
      <c r="H43">
        <v>27.723354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>
        <v>298.58163200000001</v>
      </c>
    </row>
    <row r="44" spans="1:14" x14ac:dyDescent="0.3">
      <c r="A44" t="s">
        <v>3</v>
      </c>
      <c r="B44" t="s">
        <v>9</v>
      </c>
      <c r="C44">
        <v>9.0587280000000003</v>
      </c>
      <c r="D44">
        <v>41.739127000000003</v>
      </c>
      <c r="E44">
        <v>79.461973999999998</v>
      </c>
      <c r="F44">
        <v>6.0905389999999997</v>
      </c>
      <c r="G44">
        <v>13.346021</v>
      </c>
      <c r="H44">
        <v>8.8788719999999994</v>
      </c>
      <c r="I44">
        <v>0</v>
      </c>
      <c r="J44">
        <v>0</v>
      </c>
      <c r="K44">
        <v>0</v>
      </c>
      <c r="L44">
        <v>2.9681899999999999</v>
      </c>
      <c r="M44">
        <v>100</v>
      </c>
      <c r="N44">
        <v>224.294073</v>
      </c>
    </row>
    <row r="45" spans="1:14" x14ac:dyDescent="0.3">
      <c r="A45" t="s">
        <v>3</v>
      </c>
      <c r="B45" t="s">
        <v>8</v>
      </c>
      <c r="C45">
        <v>303.44588199999998</v>
      </c>
      <c r="D45">
        <v>2.3840050000000002</v>
      </c>
      <c r="E45">
        <v>1.429532</v>
      </c>
      <c r="F45">
        <v>124.62925</v>
      </c>
      <c r="G45">
        <v>4.0872570000000001</v>
      </c>
      <c r="H45">
        <v>2.3394279999999998</v>
      </c>
      <c r="I45">
        <v>23.593050000000002</v>
      </c>
      <c r="J45">
        <v>6.5860849999999997</v>
      </c>
      <c r="K45">
        <v>4.941694</v>
      </c>
      <c r="L45">
        <v>155.22358199999999</v>
      </c>
      <c r="M45">
        <v>0.37776999999999999</v>
      </c>
      <c r="N45">
        <v>0.16514699999999999</v>
      </c>
    </row>
    <row r="46" spans="1:14" x14ac:dyDescent="0.3">
      <c r="A46" t="s">
        <v>3</v>
      </c>
      <c r="B46" t="s">
        <v>7</v>
      </c>
      <c r="C46">
        <v>643.11932999999999</v>
      </c>
      <c r="D46">
        <v>15.772876999999999</v>
      </c>
      <c r="E46">
        <v>13.117575</v>
      </c>
      <c r="F46">
        <v>518.69763999999998</v>
      </c>
      <c r="G46">
        <v>10.914783</v>
      </c>
      <c r="H46">
        <v>8.7218719999999994</v>
      </c>
      <c r="I46">
        <v>0</v>
      </c>
      <c r="J46">
        <v>0</v>
      </c>
      <c r="K46">
        <v>0</v>
      </c>
      <c r="L46">
        <v>124.42169</v>
      </c>
      <c r="M46">
        <v>36.025632000000002</v>
      </c>
      <c r="N46">
        <v>31.442685000000001</v>
      </c>
    </row>
    <row r="47" spans="1:14" x14ac:dyDescent="0.3">
      <c r="A47" t="s">
        <v>3</v>
      </c>
      <c r="B47" t="s">
        <v>6</v>
      </c>
      <c r="C47">
        <v>33.064343999999998</v>
      </c>
      <c r="D47">
        <v>69.376945000000006</v>
      </c>
      <c r="E47">
        <v>200.42042699999999</v>
      </c>
      <c r="F47">
        <v>19.799917000000001</v>
      </c>
      <c r="G47">
        <v>48.861846</v>
      </c>
      <c r="H47">
        <v>65.170107000000002</v>
      </c>
      <c r="I47">
        <v>0</v>
      </c>
      <c r="J47">
        <v>0</v>
      </c>
      <c r="K47">
        <v>0</v>
      </c>
      <c r="L47">
        <v>13.264427</v>
      </c>
      <c r="M47">
        <v>100</v>
      </c>
      <c r="N47">
        <v>402.30968000000001</v>
      </c>
    </row>
    <row r="48" spans="1:14" x14ac:dyDescent="0.3">
      <c r="A48" t="s">
        <v>3</v>
      </c>
      <c r="B48" t="s">
        <v>5</v>
      </c>
      <c r="C48">
        <v>24.247599999999998</v>
      </c>
      <c r="D48">
        <v>33.107607000000002</v>
      </c>
      <c r="E48">
        <v>111.81211399999999</v>
      </c>
      <c r="F48">
        <v>10.4964</v>
      </c>
      <c r="G48">
        <v>49.113982</v>
      </c>
      <c r="H48">
        <v>184.412814</v>
      </c>
      <c r="I48">
        <v>0.1326</v>
      </c>
      <c r="J48">
        <v>30.769231000000001</v>
      </c>
      <c r="K48">
        <v>37.874741999999998</v>
      </c>
      <c r="L48">
        <v>13.618600000000001</v>
      </c>
      <c r="M48">
        <v>20.793620000000001</v>
      </c>
      <c r="N48">
        <v>56.575755000000001</v>
      </c>
    </row>
    <row r="49" spans="1:14" x14ac:dyDescent="0.3">
      <c r="A49" t="s">
        <v>3</v>
      </c>
      <c r="B49" t="s">
        <v>4</v>
      </c>
      <c r="C49">
        <v>97.773409999999998</v>
      </c>
      <c r="D49">
        <v>96.544510000000002</v>
      </c>
      <c r="E49">
        <v>197.43951999999999</v>
      </c>
      <c r="F49">
        <v>74.459490000000002</v>
      </c>
      <c r="G49">
        <v>95.462565999999995</v>
      </c>
      <c r="H49">
        <v>168.92350400000001</v>
      </c>
      <c r="I49">
        <v>0</v>
      </c>
      <c r="J49">
        <v>0</v>
      </c>
      <c r="K49">
        <v>0</v>
      </c>
      <c r="L49">
        <v>23.31392</v>
      </c>
      <c r="M49">
        <v>100</v>
      </c>
      <c r="N49">
        <v>288.51335</v>
      </c>
    </row>
    <row r="50" spans="1:14" x14ac:dyDescent="0.3">
      <c r="A50" t="s">
        <v>3</v>
      </c>
      <c r="B50" t="s">
        <v>2</v>
      </c>
      <c r="C50">
        <v>71.069734999999994</v>
      </c>
      <c r="D50">
        <v>3.3235679999999999</v>
      </c>
      <c r="E50">
        <v>4.0529500000000001</v>
      </c>
      <c r="F50">
        <v>19.14141</v>
      </c>
      <c r="G50">
        <v>9.0118229999999997</v>
      </c>
      <c r="H50">
        <v>11.172084</v>
      </c>
      <c r="I50">
        <v>0.71511499999999995</v>
      </c>
      <c r="J50">
        <v>1.5380000000000001E-3</v>
      </c>
      <c r="K50">
        <v>2.441E-3</v>
      </c>
      <c r="L50">
        <v>51.213209999999997</v>
      </c>
      <c r="M50">
        <v>1.2439169999999999</v>
      </c>
      <c r="N50">
        <v>1.448666</v>
      </c>
    </row>
    <row r="51" spans="1:14" x14ac:dyDescent="0.3">
      <c r="A51" t="s">
        <v>1</v>
      </c>
      <c r="C51">
        <v>1330.663237</v>
      </c>
      <c r="D51">
        <v>26.333456999999999</v>
      </c>
      <c r="E51">
        <v>44.770617999999999</v>
      </c>
      <c r="F51">
        <v>877.13016800000003</v>
      </c>
      <c r="G51">
        <v>24.54833</v>
      </c>
      <c r="H51">
        <v>34.023490000000002</v>
      </c>
      <c r="I51">
        <v>24.440764999999999</v>
      </c>
      <c r="J51">
        <v>6.5246300000000002</v>
      </c>
      <c r="K51">
        <v>4.9758500000000003</v>
      </c>
      <c r="L51">
        <v>429.09230400000001</v>
      </c>
      <c r="M51">
        <v>31.110825999999999</v>
      </c>
      <c r="N51">
        <v>69.006067999999999</v>
      </c>
    </row>
    <row r="52" spans="1:14" x14ac:dyDescent="0.3">
      <c r="A52" t="s">
        <v>0</v>
      </c>
      <c r="C52">
        <v>2776.2320030000001</v>
      </c>
      <c r="D52">
        <v>39.292966999999997</v>
      </c>
      <c r="E52">
        <v>87.450445999999999</v>
      </c>
      <c r="F52">
        <v>1804.9447500000001</v>
      </c>
      <c r="G52">
        <v>31.464227000000001</v>
      </c>
      <c r="H52">
        <v>61.579600999999997</v>
      </c>
      <c r="I52">
        <v>32.658534000000003</v>
      </c>
      <c r="J52">
        <v>6.2554959999999999</v>
      </c>
      <c r="K52">
        <v>9.4120760000000008</v>
      </c>
      <c r="L52">
        <v>938.62871900000005</v>
      </c>
      <c r="M52">
        <v>55.496816000000003</v>
      </c>
      <c r="N52">
        <v>139.91428400000001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330F9-315B-445F-AC5E-CD44DF96672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bio_critical_load (2)</vt:lpstr>
      <vt:lpstr>bio_critical_load (1)</vt:lpstr>
      <vt:lpstr>bio_critical_load (3)</vt:lpstr>
      <vt:lpstr>bio_critical_load (4)</vt:lpstr>
      <vt:lpstr>bio_critical_load (5)</vt:lpstr>
      <vt:lpstr>bio_critical_load (6)</vt:lpstr>
      <vt:lpstr>bio_critical_load (7)</vt:lpstr>
      <vt:lpstr>bio_critical_load (8)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2026-01-27T17:40:05Z</dcterms:created>
  <dcterms:modified xsi:type="dcterms:W3CDTF">2026-03-25T19:31:57Z</dcterms:modified>
</cp:coreProperties>
</file>
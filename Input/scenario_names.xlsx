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F3FD7ACD-C6E1-4CBD-95F5-E7CE18524149}" xr6:coauthVersionLast="47" xr6:coauthVersionMax="47" xr10:uidLastSave="{00000000-0000-0000-0000-000000000000}"/>
  <bookViews>
    <workbookView xWindow="-108" yWindow="-108" windowWidth="23256" windowHeight="12456" xr2:uid="{F2138C38-4F4B-4BD4-9067-4E0C2C507382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1" l="1"/>
  <c r="M15" i="1"/>
  <c r="M4" i="1"/>
  <c r="M5" i="1"/>
  <c r="M6" i="1"/>
  <c r="M7" i="1"/>
  <c r="M8" i="1"/>
  <c r="M9" i="1"/>
  <c r="M10" i="1"/>
  <c r="M11" i="1"/>
  <c r="M12" i="1"/>
  <c r="M13" i="1"/>
  <c r="M3" i="1"/>
  <c r="M17" i="1"/>
  <c r="M18" i="1"/>
  <c r="M19" i="1"/>
  <c r="M20" i="1"/>
  <c r="K4" i="1" l="1"/>
  <c r="K5" i="1"/>
  <c r="K6" i="1"/>
  <c r="K7" i="1"/>
  <c r="K8" i="1"/>
  <c r="K9" i="1"/>
  <c r="K10" i="1"/>
  <c r="K11" i="1"/>
  <c r="K12" i="1"/>
  <c r="K13" i="1"/>
  <c r="K15" i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K3" i="1"/>
  <c r="G3" i="1"/>
  <c r="F20" i="1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F4" i="1"/>
  <c r="F3" i="1"/>
  <c r="J19" i="1"/>
  <c r="K19" i="1" s="1"/>
  <c r="J18" i="1"/>
  <c r="K18" i="1" s="1"/>
  <c r="J17" i="1"/>
  <c r="K17" i="1" s="1"/>
  <c r="J16" i="1"/>
  <c r="K16" i="1" s="1"/>
  <c r="J20" i="1"/>
  <c r="K20" i="1" s="1"/>
  <c r="J15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<sst xmlns="http://schemas.openxmlformats.org/spreadsheetml/2006/main" count="130" uniqueCount="35">
  <si>
    <t>A1r/d/D/v5a</t>
  </si>
  <si>
    <t>A1r/d/G/v5a</t>
  </si>
  <si>
    <t>A1r/s/D/v5a</t>
  </si>
  <si>
    <t>A1r/s/G/v5a</t>
  </si>
  <si>
    <t>A2/d/D/v5a</t>
  </si>
  <si>
    <t>A2/s/D/v5a</t>
  </si>
  <si>
    <t>A3/d/D/v5a</t>
  </si>
  <si>
    <t>A3/s/D/v5a</t>
  </si>
  <si>
    <t>A4/s/D/v5a</t>
  </si>
  <si>
    <t>B1/d/D/v5a</t>
  </si>
  <si>
    <t>B2/d/D/v5a</t>
  </si>
  <si>
    <t>Base_v5a</t>
  </si>
  <si>
    <t>A1r/d/D/v6b</t>
  </si>
  <si>
    <t>D3/d/D/v6b</t>
  </si>
  <si>
    <t>C2/d/D/v6b</t>
  </si>
  <si>
    <t>D2/d/D/v6b</t>
  </si>
  <si>
    <t>C1/d/D/v6b</t>
  </si>
  <si>
    <t>D1/d/D/v6b</t>
  </si>
  <si>
    <t>Model abbreviation</t>
  </si>
  <si>
    <t>PMH</t>
  </si>
  <si>
    <t>O3H</t>
  </si>
  <si>
    <t>Domain</t>
  </si>
  <si>
    <t>Country</t>
  </si>
  <si>
    <t>Scenario group</t>
  </si>
  <si>
    <t>v5a</t>
  </si>
  <si>
    <t>v6b</t>
  </si>
  <si>
    <t>?</t>
  </si>
  <si>
    <t>AAE</t>
  </si>
  <si>
    <t>all</t>
  </si>
  <si>
    <t>Round</t>
  </si>
  <si>
    <t>CBA-name</t>
  </si>
  <si>
    <t>Pop-aging</t>
  </si>
  <si>
    <t>Pop-const.</t>
  </si>
  <si>
    <t>Population</t>
  </si>
  <si>
    <t>Target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</si>
</sst>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2015_bio_critical_load_v5b.csv" TargetMode="External"/><Relationship Id="rId1" Type="http://schemas.openxmlformats.org/officeDocument/2006/relationships/externalLinkPath" Target="2015_bio_critical_load_v5b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v5_bio_critical_load.xlsx" TargetMode="External"/><Relationship Id="rId1" Type="http://schemas.openxmlformats.org/officeDocument/2006/relationships/externalLinkPath" Target="v5_bio_critical_loa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nuell_CBA/v6_Bio_CL_CBA_CHECK.xlsx" TargetMode="External"/><Relationship Id="rId2" Type="http://schemas.openxmlformats.org/officeDocument/2006/relationships/externalLinkPath" Target="file:///C:\Users\Stefan&#197;str&#246;m\C_Verktyg\Python\ALL_PYTHON\CBA_GOT_PROT\CBA_GBG_PROT\Manuell_CBA\v6_Bio_CL_CBA_CHECK.xlsx" TargetMode="External"/><Relationship Id="rId1" Type="http://schemas.openxmlformats.org/officeDocument/2006/relationships/externalLinkPath" Target="/Users/Stefan&#197;str&#246;m/C_Verktyg/Python/ALL_PYTHON/CBA_GOT_PROT/CBA_GBG_PROT/Manuell_CBA/v6_Bio_CL_CBA_CHEC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2015_bio_critical_load_v6b.csv" TargetMode="External"/><Relationship Id="rId1" Type="http://schemas.openxmlformats.org/officeDocument/2006/relationships/externalLinkPath" Target="2015_bio_critical_load_v6b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v5_PM_conc_exp.xlsx" TargetMode="External"/><Relationship Id="rId1" Type="http://schemas.openxmlformats.org/officeDocument/2006/relationships/externalLinkPath" Target="v5_PM_conc_ex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2015_yoll_Europe_v5b.csv" TargetMode="External"/><Relationship Id="rId1" Type="http://schemas.openxmlformats.org/officeDocument/2006/relationships/externalLinkPath" Target="2015_yoll_Europe_v5b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v6_PM_conc_exp.xlsx" TargetMode="External"/><Relationship Id="rId1" Type="http://schemas.openxmlformats.org/officeDocument/2006/relationships/externalLinkPath" Target="v6_PM_conc_ex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fan&#197;str&#246;m\C_Verktyg\Python\ALL_PYTHON\CBA_GOT_PROT\CBA_GBG_PROT\Input\2015_yoll_Europe_v6b.csv" TargetMode="External"/><Relationship Id="rId1" Type="http://schemas.openxmlformats.org/officeDocument/2006/relationships/externalLinkPath" Target="2015_yoll_Europe_v6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_bio_critical_load_v5b"/>
    </sheetNames>
    <sheetDataSet>
      <sheetData sheetId="0">
        <row r="52">
          <cell r="E52">
            <v>278.39999999999998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o_critical_load"/>
      <sheetName val="bio_critical_load (1)"/>
      <sheetName val="bio_critical_load (2)"/>
      <sheetName val="bio_critical_load (3)"/>
      <sheetName val="bio_critical_load (4)"/>
      <sheetName val="bio_critical_load (5)"/>
      <sheetName val="bio_critical_load (6)"/>
      <sheetName val="bio_critical_load (7)"/>
      <sheetName val="bio_critical_load (8)"/>
      <sheetName val="bio_critical_load (9)"/>
      <sheetName val="bio_critical_load (10)"/>
      <sheetName val="bio_critical_load (11)"/>
      <sheetName val="bio_critical_load (12)"/>
      <sheetName val="bio_critical_load (13)"/>
      <sheetName val="bio_critical_load (14)"/>
      <sheetName val="bio_critical_load (15)"/>
      <sheetName val="Sheet1"/>
    </sheetNames>
    <sheetDataSet>
      <sheetData sheetId="0"/>
      <sheetData sheetId="1"/>
      <sheetData sheetId="2"/>
      <sheetData sheetId="3"/>
      <sheetData sheetId="4">
        <row r="52">
          <cell r="E52" t="str">
            <v>126.068148413143585088089246212737763026</v>
          </cell>
        </row>
      </sheetData>
      <sheetData sheetId="5">
        <row r="52">
          <cell r="E52" t="str">
            <v>120.185738075645791924080732858183413855</v>
          </cell>
        </row>
      </sheetData>
      <sheetData sheetId="6">
        <row r="52">
          <cell r="E52" t="str">
            <v>151.328462545632742022402320557945536421</v>
          </cell>
        </row>
      </sheetData>
      <sheetData sheetId="7">
        <row r="52">
          <cell r="E52" t="str">
            <v>148.695063721323119675422583234232188793</v>
          </cell>
        </row>
      </sheetData>
      <sheetData sheetId="8">
        <row r="52">
          <cell r="E52" t="str">
            <v>103.761238795379455994372401752336745503</v>
          </cell>
        </row>
      </sheetData>
      <sheetData sheetId="9">
        <row r="52">
          <cell r="E52" t="str">
            <v>139.08049895964068101034951612538875006</v>
          </cell>
        </row>
      </sheetData>
      <sheetData sheetId="10">
        <row r="52">
          <cell r="E52" t="str">
            <v>103.761238795379455994372401752336745503</v>
          </cell>
        </row>
      </sheetData>
      <sheetData sheetId="11">
        <row r="52">
          <cell r="E52" t="str">
            <v>139.08049895964068101034951612538875006</v>
          </cell>
        </row>
      </sheetData>
      <sheetData sheetId="12">
        <row r="52">
          <cell r="E52" t="str">
            <v>116.978950605810154523059062426613572518</v>
          </cell>
        </row>
      </sheetData>
      <sheetData sheetId="13">
        <row r="52">
          <cell r="E52" t="str">
            <v>113.710976286627036938066832011103754819</v>
          </cell>
        </row>
      </sheetData>
      <sheetData sheetId="14">
        <row r="52">
          <cell r="E52" t="str">
            <v>116.578893957881091055606792777290314784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io_critical_load (2)"/>
      <sheetName val="bio_critical_load (1)"/>
      <sheetName val="bio_critical_load (3)"/>
      <sheetName val="bio_critical_load (4)"/>
      <sheetName val="bio_critical_load (5)"/>
      <sheetName val="bio_critical_load (6)"/>
      <sheetName val="bio_critical_load (7)"/>
      <sheetName val="bio_critical_load (8)"/>
      <sheetName val="Sheet1"/>
    </sheetNames>
    <sheetDataSet>
      <sheetData sheetId="0" refreshError="1"/>
      <sheetData sheetId="1">
        <row r="52">
          <cell r="E52">
            <v>126.423407</v>
          </cell>
        </row>
      </sheetData>
      <sheetData sheetId="2">
        <row r="52">
          <cell r="E52">
            <v>122.665837</v>
          </cell>
        </row>
      </sheetData>
      <sheetData sheetId="3">
        <row r="52">
          <cell r="E52">
            <v>102.144649</v>
          </cell>
        </row>
      </sheetData>
      <sheetData sheetId="4">
        <row r="52">
          <cell r="E52">
            <v>122.585263</v>
          </cell>
        </row>
      </sheetData>
      <sheetData sheetId="5">
        <row r="52">
          <cell r="E52">
            <v>115.371117</v>
          </cell>
        </row>
      </sheetData>
      <sheetData sheetId="6">
        <row r="52">
          <cell r="E52">
            <v>99.295958999999996</v>
          </cell>
        </row>
      </sheetData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_bio_critical_load_v6b"/>
    </sheetNames>
    <sheetDataSet>
      <sheetData sheetId="0">
        <row r="52">
          <cell r="E52">
            <v>279.8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oll_Europe"/>
      <sheetName val="yoll_Europe (1)"/>
      <sheetName val="yoll_Europe (2)"/>
      <sheetName val="yoll_Europe (3)"/>
      <sheetName val="yoll_Europe (4)"/>
      <sheetName val="yoll_Europe (5)"/>
      <sheetName val="yoll_Europe (6)"/>
      <sheetName val="yoll_Europe (7)"/>
      <sheetName val="yoll_Europe (8)"/>
      <sheetName val="yoll_Europe (9)"/>
      <sheetName val="yoll_Europe (10)"/>
      <sheetName val="yoll_Europe (11)"/>
      <sheetName val="yoll_Europe (12)"/>
      <sheetName val="yoll_Europe (13)"/>
      <sheetName val="yoll_Europe (14)"/>
      <sheetName val="yoll_Europe (15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7">
          <cell r="E37">
            <v>2349285</v>
          </cell>
        </row>
        <row r="61">
          <cell r="E61">
            <v>3236507</v>
          </cell>
        </row>
      </sheetData>
      <sheetData sheetId="5">
        <row r="37">
          <cell r="E37">
            <v>2306258</v>
          </cell>
        </row>
        <row r="61">
          <cell r="E61">
            <v>3286853</v>
          </cell>
        </row>
      </sheetData>
      <sheetData sheetId="6">
        <row r="37">
          <cell r="E37">
            <v>2612507</v>
          </cell>
        </row>
        <row r="61">
          <cell r="E61">
            <v>4048919</v>
          </cell>
        </row>
      </sheetData>
      <sheetData sheetId="7">
        <row r="37">
          <cell r="E37">
            <v>2552743</v>
          </cell>
        </row>
        <row r="61">
          <cell r="E61">
            <v>4093075</v>
          </cell>
        </row>
      </sheetData>
      <sheetData sheetId="8">
        <row r="37">
          <cell r="E37">
            <v>2180754</v>
          </cell>
        </row>
        <row r="61">
          <cell r="E61">
            <v>2836792</v>
          </cell>
        </row>
      </sheetData>
      <sheetData sheetId="9">
        <row r="37">
          <cell r="E37">
            <v>2430040</v>
          </cell>
        </row>
        <row r="61">
          <cell r="E61">
            <v>3578953</v>
          </cell>
        </row>
      </sheetData>
      <sheetData sheetId="10">
        <row r="37">
          <cell r="E37">
            <v>2180754</v>
          </cell>
        </row>
        <row r="61">
          <cell r="E61">
            <v>2836792</v>
          </cell>
        </row>
      </sheetData>
      <sheetData sheetId="11">
        <row r="37">
          <cell r="E37">
            <v>2430040</v>
          </cell>
        </row>
        <row r="61">
          <cell r="E61">
            <v>3578953</v>
          </cell>
        </row>
      </sheetData>
      <sheetData sheetId="12">
        <row r="37">
          <cell r="E37">
            <v>2271516</v>
          </cell>
        </row>
        <row r="61">
          <cell r="E61">
            <v>3072484</v>
          </cell>
        </row>
      </sheetData>
      <sheetData sheetId="13">
        <row r="37">
          <cell r="E37">
            <v>2345461</v>
          </cell>
        </row>
        <row r="61">
          <cell r="E61">
            <v>3235554</v>
          </cell>
        </row>
      </sheetData>
      <sheetData sheetId="14">
        <row r="37">
          <cell r="E37">
            <v>2342440</v>
          </cell>
        </row>
        <row r="61">
          <cell r="E61">
            <v>3241191</v>
          </cell>
        </row>
      </sheetData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_yoll_Europe_v5b"/>
    </sheetNames>
    <sheetDataSet>
      <sheetData sheetId="0">
        <row r="37">
          <cell r="E37">
            <v>6071498</v>
          </cell>
        </row>
        <row r="61">
          <cell r="E61">
            <v>5349450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oll_Europe (19)"/>
      <sheetName val="yoll_Europe (20)"/>
      <sheetName val="yoll_Europe (21)"/>
      <sheetName val="yoll_Europe (22)"/>
      <sheetName val="yoll_Europe (23)"/>
      <sheetName val="yoll_Europe (24)"/>
      <sheetName val="yoll_Europe (25)"/>
      <sheetName val="yoll_Europe (26)"/>
    </sheetNames>
    <sheetDataSet>
      <sheetData sheetId="0" refreshError="1"/>
      <sheetData sheetId="1">
        <row r="37">
          <cell r="E37">
            <v>2379371</v>
          </cell>
        </row>
        <row r="61">
          <cell r="E61">
            <v>3284788</v>
          </cell>
        </row>
      </sheetData>
      <sheetData sheetId="2">
        <row r="37">
          <cell r="E37">
            <v>2383612</v>
          </cell>
        </row>
        <row r="61">
          <cell r="E61">
            <v>3281956</v>
          </cell>
        </row>
      </sheetData>
      <sheetData sheetId="3">
        <row r="37">
          <cell r="E37">
            <v>2371977</v>
          </cell>
        </row>
        <row r="61">
          <cell r="E61">
            <v>3293358</v>
          </cell>
        </row>
      </sheetData>
      <sheetData sheetId="4">
        <row r="37">
          <cell r="E37">
            <v>2380662</v>
          </cell>
        </row>
        <row r="61">
          <cell r="E61">
            <v>3284142</v>
          </cell>
        </row>
      </sheetData>
      <sheetData sheetId="5">
        <row r="37">
          <cell r="E37">
            <v>2373447</v>
          </cell>
        </row>
        <row r="61">
          <cell r="E61">
            <v>3291770</v>
          </cell>
        </row>
      </sheetData>
      <sheetData sheetId="6">
        <row r="37">
          <cell r="E37">
            <v>2353489</v>
          </cell>
        </row>
        <row r="61">
          <cell r="E61">
            <v>3313188</v>
          </cell>
        </row>
      </sheetData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_yoll_Europe_v6b"/>
    </sheetNames>
    <sheetDataSet>
      <sheetData sheetId="0">
        <row r="37">
          <cell r="E37">
            <v>6056436</v>
          </cell>
        </row>
        <row r="61">
          <cell r="E61">
            <v>5391419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2CA6-80F6-4FF7-A122-7F968493983F}">
  <dimension ref="B1:M22"/>
  <sheetViews>
    <sheetView tabSelected="1" workbookViewId="0">
      <selection activeCell="M16" sqref="M16"/>
    </sheetView>
  </sheetViews>
  <sheetFormatPr defaultRowHeight="14.4" x14ac:dyDescent="0.3"/>
  <cols>
    <col min="2" max="2" width="20.5546875" customWidth="1"/>
    <col min="4" max="4" width="12.33203125" customWidth="1"/>
    <col min="5" max="5" width="14.44140625" bestFit="1" customWidth="1"/>
    <col min="8" max="8" width="11.6640625" bestFit="1" customWidth="1"/>
    <col min="9" max="9" width="11.6640625" customWidth="1"/>
    <col min="13" max="13" width="44" customWidth="1"/>
  </cols>
  <sheetData>
    <row r="1" spans="2:13" x14ac:dyDescent="0.3">
      <c r="C1" t="s">
        <v>23</v>
      </c>
    </row>
    <row r="2" spans="2:13" ht="15" thickBot="1" x14ac:dyDescent="0.35">
      <c r="B2" t="s">
        <v>18</v>
      </c>
      <c r="C2" s="3"/>
      <c r="D2" s="3" t="s">
        <v>33</v>
      </c>
      <c r="E2" s="3" t="s">
        <v>34</v>
      </c>
      <c r="F2" s="3" t="s">
        <v>19</v>
      </c>
      <c r="G2" s="3" t="s">
        <v>29</v>
      </c>
      <c r="H2" s="3" t="s">
        <v>20</v>
      </c>
      <c r="I2" s="3"/>
      <c r="J2" s="3" t="s">
        <v>27</v>
      </c>
      <c r="K2" s="3"/>
      <c r="L2" s="3" t="s">
        <v>28</v>
      </c>
      <c r="M2" s="3" t="s">
        <v>30</v>
      </c>
    </row>
    <row r="3" spans="2:13" ht="18.600000000000001" thickBot="1" x14ac:dyDescent="0.35">
      <c r="B3" s="1" t="s">
        <v>0</v>
      </c>
      <c r="C3" t="s">
        <v>24</v>
      </c>
      <c r="D3" t="s">
        <v>31</v>
      </c>
      <c r="E3" t="s">
        <v>21</v>
      </c>
      <c r="F3" s="2">
        <f>1-('[5]yoll_Europe (4)'!$E$37+'[5]yoll_Europe (4)'!$E$61)/('[6]2015_yoll_Europe_v5b'!$E$37+'[6]2015_yoll_Europe_v5b'!$E$61)</f>
        <v>0.51091695715627106</v>
      </c>
      <c r="G3" s="2">
        <f>ROUND(F3,2)</f>
        <v>0.51</v>
      </c>
      <c r="H3" t="s">
        <v>26</v>
      </c>
      <c r="I3" t="s">
        <v>26</v>
      </c>
      <c r="J3" s="2">
        <f>1-'[2]bio_critical_load (4)'!$E$52/'[1]2015_bio_critical_load_v5b'!$E$52</f>
        <v>0.54716900713669891</v>
      </c>
      <c r="K3" s="2">
        <f>ROUND(J3,2)</f>
        <v>0.55000000000000004</v>
      </c>
      <c r="L3" t="s">
        <v>28</v>
      </c>
      <c r="M3" t="str">
        <f t="shared" ref="M3:M16" si="0">CONCATENATE(C3,"_",D3,"_",E3,"_PMH:",G3,"_O3H:",I3,"_AAE:",K3)</f>
        <v>v5a_Pop-aging_Domain_PMH:0.51_O3H:?_AAE:0.55</v>
      </c>
    </row>
    <row r="4" spans="2:13" ht="18.600000000000001" thickBot="1" x14ac:dyDescent="0.35">
      <c r="B4" s="1" t="s">
        <v>1</v>
      </c>
      <c r="C4" t="s">
        <v>24</v>
      </c>
      <c r="D4" t="s">
        <v>31</v>
      </c>
      <c r="E4" t="s">
        <v>22</v>
      </c>
      <c r="F4" s="2">
        <f>1-('[5]yoll_Europe (5)'!$E$37+'[5]yoll_Europe (5)'!$E$61)/('[6]2015_yoll_Europe_v5b'!$E$37+'[6]2015_yoll_Europe_v5b'!$E$61)</f>
        <v>0.51027611718396759</v>
      </c>
      <c r="G4" s="2">
        <f t="shared" ref="G4:G20" si="1">ROUND(F4,2)</f>
        <v>0.51</v>
      </c>
      <c r="H4" t="s">
        <v>26</v>
      </c>
      <c r="I4" t="s">
        <v>26</v>
      </c>
      <c r="J4" s="2">
        <f>1-'[2]bio_critical_load (5)'!$E$52/'[1]2015_bio_critical_load_v5b'!$E$52</f>
        <v>0.56829835461334399</v>
      </c>
      <c r="K4" s="2">
        <f t="shared" ref="K4:K20" si="2">ROUND(J4,2)</f>
        <v>0.56999999999999995</v>
      </c>
      <c r="L4" t="s">
        <v>28</v>
      </c>
      <c r="M4" t="str">
        <f t="shared" si="0"/>
        <v>v5a_Pop-aging_Country_PMH:0.51_O3H:?_AAE:0.57</v>
      </c>
    </row>
    <row r="5" spans="2:13" ht="18.600000000000001" thickBot="1" x14ac:dyDescent="0.35">
      <c r="B5" s="1" t="s">
        <v>2</v>
      </c>
      <c r="C5" t="s">
        <v>24</v>
      </c>
      <c r="D5" t="s">
        <v>32</v>
      </c>
      <c r="E5" t="s">
        <v>21</v>
      </c>
      <c r="F5" s="2">
        <f>1-('[5]yoll_Europe (6)'!$E$37+'[5]yoll_Europe (6)'!$E$61)/('[6]2015_yoll_Europe_v5b'!$E$37+'[6]2015_yoll_Europe_v5b'!$E$61)</f>
        <v>0.41673615885476412</v>
      </c>
      <c r="G5" s="2">
        <f t="shared" si="1"/>
        <v>0.42</v>
      </c>
      <c r="H5" t="s">
        <v>26</v>
      </c>
      <c r="I5" t="s">
        <v>26</v>
      </c>
      <c r="J5" s="2">
        <f>1-'[2]bio_critical_load (6)'!$E$52/'[1]2015_bio_critical_load_v5b'!$E$52</f>
        <v>0.45643512016655174</v>
      </c>
      <c r="K5" s="2">
        <f t="shared" si="2"/>
        <v>0.46</v>
      </c>
      <c r="L5" t="s">
        <v>28</v>
      </c>
      <c r="M5" t="str">
        <f t="shared" si="0"/>
        <v>v5a_Pop-const._Domain_PMH:0.42_O3H:?_AAE:0.46</v>
      </c>
    </row>
    <row r="6" spans="2:13" ht="18.600000000000001" thickBot="1" x14ac:dyDescent="0.35">
      <c r="B6" s="1" t="s">
        <v>3</v>
      </c>
      <c r="C6" t="s">
        <v>24</v>
      </c>
      <c r="D6" t="s">
        <v>32</v>
      </c>
      <c r="E6" t="s">
        <v>22</v>
      </c>
      <c r="F6" s="2">
        <f>1-('[5]yoll_Europe (7)'!$E$37+'[5]yoll_Europe (7)'!$E$61)/('[6]2015_yoll_Europe_v5b'!$E$37+'[6]2015_yoll_Europe_v5b'!$E$61)</f>
        <v>0.41810277045303068</v>
      </c>
      <c r="G6" s="2">
        <f t="shared" si="1"/>
        <v>0.42</v>
      </c>
      <c r="H6" t="s">
        <v>26</v>
      </c>
      <c r="I6" t="s">
        <v>26</v>
      </c>
      <c r="J6" s="2">
        <f>1-'[2]bio_critical_load (7)'!$E$52/'[1]2015_bio_critical_load_v5b'!$E$52</f>
        <v>0.46589416766766156</v>
      </c>
      <c r="K6" s="2">
        <f t="shared" si="2"/>
        <v>0.47</v>
      </c>
      <c r="L6" t="s">
        <v>28</v>
      </c>
      <c r="M6" t="str">
        <f t="shared" si="0"/>
        <v>v5a_Pop-const._Country_PMH:0.42_O3H:?_AAE:0.47</v>
      </c>
    </row>
    <row r="7" spans="2:13" ht="18.600000000000001" thickBot="1" x14ac:dyDescent="0.35">
      <c r="B7" s="1" t="s">
        <v>4</v>
      </c>
      <c r="C7" t="s">
        <v>24</v>
      </c>
      <c r="D7" t="s">
        <v>31</v>
      </c>
      <c r="E7" t="s">
        <v>21</v>
      </c>
      <c r="F7" s="2">
        <f>1-('[5]yoll_Europe (8)'!$E$37+'[5]yoll_Europe (8)'!$E$61)/('[6]2015_yoll_Europe_v5b'!$E$37+'[6]2015_yoll_Europe_v5b'!$E$61)</f>
        <v>0.56067167103816606</v>
      </c>
      <c r="G7" s="2">
        <f t="shared" si="1"/>
        <v>0.56000000000000005</v>
      </c>
      <c r="H7" t="s">
        <v>26</v>
      </c>
      <c r="I7" t="s">
        <v>26</v>
      </c>
      <c r="J7" s="2">
        <f>1-'[2]bio_critical_load (8)'!$E$52/'[1]2015_bio_critical_load_v5b'!$E$52</f>
        <v>0.62729440087866739</v>
      </c>
      <c r="K7" s="2">
        <f t="shared" si="2"/>
        <v>0.63</v>
      </c>
      <c r="L7" t="s">
        <v>28</v>
      </c>
      <c r="M7" t="str">
        <f t="shared" si="0"/>
        <v>v5a_Pop-aging_Domain_PMH:0.56_O3H:?_AAE:0.63</v>
      </c>
    </row>
    <row r="8" spans="2:13" ht="18.600000000000001" thickBot="1" x14ac:dyDescent="0.35">
      <c r="B8" s="1" t="s">
        <v>5</v>
      </c>
      <c r="C8" t="s">
        <v>24</v>
      </c>
      <c r="D8" t="s">
        <v>32</v>
      </c>
      <c r="E8" t="s">
        <v>21</v>
      </c>
      <c r="F8" s="2">
        <f>1-('[5]yoll_Europe (9)'!$E$37+'[5]yoll_Europe (9)'!$E$61)/('[6]2015_yoll_Europe_v5b'!$E$37+'[6]2015_yoll_Europe_v5b'!$E$61)</f>
        <v>0.47386215224865746</v>
      </c>
      <c r="G8" s="2">
        <f t="shared" si="1"/>
        <v>0.47</v>
      </c>
      <c r="H8" t="s">
        <v>26</v>
      </c>
      <c r="I8" t="s">
        <v>26</v>
      </c>
      <c r="J8" s="2">
        <f>1-'[2]bio_critical_load (9)'!$E$52/'[1]2015_bio_critical_load_v5b'!$E$52</f>
        <v>0.50042924224267238</v>
      </c>
      <c r="K8" s="2">
        <f t="shared" si="2"/>
        <v>0.5</v>
      </c>
      <c r="L8" t="s">
        <v>28</v>
      </c>
      <c r="M8" t="str">
        <f t="shared" si="0"/>
        <v>v5a_Pop-const._Domain_PMH:0.47_O3H:?_AAE:0.5</v>
      </c>
    </row>
    <row r="9" spans="2:13" ht="18.600000000000001" thickBot="1" x14ac:dyDescent="0.35">
      <c r="B9" s="1" t="s">
        <v>6</v>
      </c>
      <c r="C9" t="s">
        <v>24</v>
      </c>
      <c r="D9" t="s">
        <v>31</v>
      </c>
      <c r="E9" t="s">
        <v>21</v>
      </c>
      <c r="F9" s="2">
        <f>1-('[5]yoll_Europe (10)'!$E$37+'[5]yoll_Europe (10)'!$E$61)/('[6]2015_yoll_Europe_v5b'!$E$37+'[6]2015_yoll_Europe_v5b'!$E$61)</f>
        <v>0.56067167103816606</v>
      </c>
      <c r="G9" s="2">
        <f t="shared" si="1"/>
        <v>0.56000000000000005</v>
      </c>
      <c r="H9" t="s">
        <v>26</v>
      </c>
      <c r="I9" t="s">
        <v>26</v>
      </c>
      <c r="J9" s="2">
        <f>1-'[2]bio_critical_load (10)'!$E$52/'[1]2015_bio_critical_load_v5b'!$E$52</f>
        <v>0.62729440087866739</v>
      </c>
      <c r="K9" s="2">
        <f t="shared" si="2"/>
        <v>0.63</v>
      </c>
      <c r="L9" t="s">
        <v>28</v>
      </c>
      <c r="M9" t="str">
        <f t="shared" si="0"/>
        <v>v5a_Pop-aging_Domain_PMH:0.56_O3H:?_AAE:0.63</v>
      </c>
    </row>
    <row r="10" spans="2:13" ht="18.600000000000001" thickBot="1" x14ac:dyDescent="0.35">
      <c r="B10" s="1" t="s">
        <v>7</v>
      </c>
      <c r="C10" t="s">
        <v>24</v>
      </c>
      <c r="D10" t="s">
        <v>32</v>
      </c>
      <c r="E10" t="s">
        <v>21</v>
      </c>
      <c r="F10" s="2">
        <f>1-('[5]yoll_Europe (11)'!$E$37+'[5]yoll_Europe (11)'!$E$61)/('[6]2015_yoll_Europe_v5b'!$E$37+'[6]2015_yoll_Europe_v5b'!$E$61)</f>
        <v>0.47386215224865746</v>
      </c>
      <c r="G10" s="2">
        <f t="shared" si="1"/>
        <v>0.47</v>
      </c>
      <c r="H10" t="s">
        <v>26</v>
      </c>
      <c r="I10" t="s">
        <v>26</v>
      </c>
      <c r="J10" s="2">
        <f>1-'[2]bio_critical_load (11)'!$E$52/'[1]2015_bio_critical_load_v5b'!$E$52</f>
        <v>0.50042924224267238</v>
      </c>
      <c r="K10" s="2">
        <f t="shared" si="2"/>
        <v>0.5</v>
      </c>
      <c r="L10" t="s">
        <v>28</v>
      </c>
      <c r="M10" t="str">
        <f t="shared" si="0"/>
        <v>v5a_Pop-const._Domain_PMH:0.47_O3H:?_AAE:0.5</v>
      </c>
    </row>
    <row r="11" spans="2:13" ht="18.600000000000001" thickBot="1" x14ac:dyDescent="0.35">
      <c r="B11" s="1" t="s">
        <v>8</v>
      </c>
      <c r="C11" t="s">
        <v>24</v>
      </c>
      <c r="D11" t="s">
        <v>32</v>
      </c>
      <c r="E11" t="s">
        <v>21</v>
      </c>
      <c r="F11" s="2">
        <f>1-('[5]yoll_Europe (12)'!$E$37+'[5]yoll_Europe (12)'!$E$61)/('[6]2015_yoll_Europe_v5b'!$E$37+'[6]2015_yoll_Europe_v5b'!$E$61)</f>
        <v>0.53208787921983358</v>
      </c>
      <c r="G11" s="2">
        <f t="shared" si="1"/>
        <v>0.53</v>
      </c>
      <c r="H11" t="s">
        <v>26</v>
      </c>
      <c r="I11" t="s">
        <v>26</v>
      </c>
      <c r="J11" s="2">
        <f>1-'[2]bio_critical_load (12)'!$E$52/'[1]2015_bio_critical_load_v5b'!$E$52</f>
        <v>0.57981698776648705</v>
      </c>
      <c r="K11" s="2">
        <f t="shared" si="2"/>
        <v>0.57999999999999996</v>
      </c>
      <c r="L11" t="s">
        <v>28</v>
      </c>
      <c r="M11" t="str">
        <f t="shared" si="0"/>
        <v>v5a_Pop-const._Domain_PMH:0.53_O3H:?_AAE:0.58</v>
      </c>
    </row>
    <row r="12" spans="2:13" ht="18.600000000000001" thickBot="1" x14ac:dyDescent="0.35">
      <c r="B12" s="1" t="s">
        <v>9</v>
      </c>
      <c r="C12" t="s">
        <v>24</v>
      </c>
      <c r="D12" t="s">
        <v>31</v>
      </c>
      <c r="E12" t="s">
        <v>21</v>
      </c>
      <c r="F12" s="2">
        <f>1-('[5]yoll_Europe (13)'!$E$37+'[5]yoll_Europe (13)'!$E$61)/('[6]2015_yoll_Europe_v5b'!$E$37+'[6]2015_yoll_Europe_v5b'!$E$61)</f>
        <v>0.51133522366094297</v>
      </c>
      <c r="G12" s="2">
        <f t="shared" si="1"/>
        <v>0.51</v>
      </c>
      <c r="H12" t="s">
        <v>26</v>
      </c>
      <c r="I12" t="s">
        <v>26</v>
      </c>
      <c r="J12" s="2">
        <f>1-'[2]bio_critical_load (13)'!$E$52/'[1]2015_bio_critical_load_v5b'!$E$52</f>
        <v>0.59155540126929951</v>
      </c>
      <c r="K12" s="2">
        <f t="shared" si="2"/>
        <v>0.59</v>
      </c>
      <c r="L12" t="s">
        <v>28</v>
      </c>
      <c r="M12" t="str">
        <f t="shared" si="0"/>
        <v>v5a_Pop-aging_Domain_PMH:0.51_O3H:?_AAE:0.59</v>
      </c>
    </row>
    <row r="13" spans="2:13" ht="18.600000000000001" thickBot="1" x14ac:dyDescent="0.35">
      <c r="B13" s="1" t="s">
        <v>10</v>
      </c>
      <c r="C13" t="s">
        <v>24</v>
      </c>
      <c r="D13" t="s">
        <v>31</v>
      </c>
      <c r="E13" t="s">
        <v>21</v>
      </c>
      <c r="F13" s="2">
        <f>1-('[5]yoll_Europe (14)'!$E$37+'[5]yoll_Europe (14)'!$E$61)/('[6]2015_yoll_Europe_v5b'!$E$37+'[6]2015_yoll_Europe_v5b'!$E$61)</f>
        <v>0.51110617087127963</v>
      </c>
      <c r="G13" s="2">
        <f t="shared" si="1"/>
        <v>0.51</v>
      </c>
      <c r="H13" t="s">
        <v>26</v>
      </c>
      <c r="I13" t="s">
        <v>26</v>
      </c>
      <c r="J13" s="2">
        <f>1-'[2]bio_critical_load (14)'!$E$52/'[1]2015_bio_critical_load_v5b'!$E$52</f>
        <v>0.58125397285243885</v>
      </c>
      <c r="K13" s="2">
        <f t="shared" si="2"/>
        <v>0.57999999999999996</v>
      </c>
      <c r="L13" t="s">
        <v>28</v>
      </c>
      <c r="M13" t="str">
        <f t="shared" si="0"/>
        <v>v5a_Pop-aging_Domain_PMH:0.51_O3H:?_AAE:0.58</v>
      </c>
    </row>
    <row r="14" spans="2:13" ht="18.600000000000001" thickBot="1" x14ac:dyDescent="0.35">
      <c r="B14" s="1" t="s">
        <v>11</v>
      </c>
      <c r="G14" s="2"/>
      <c r="K14" s="2"/>
    </row>
    <row r="15" spans="2:13" ht="18.600000000000001" thickBot="1" x14ac:dyDescent="0.35">
      <c r="B15" s="1" t="s">
        <v>12</v>
      </c>
      <c r="C15" t="s">
        <v>25</v>
      </c>
      <c r="D15" t="s">
        <v>31</v>
      </c>
      <c r="E15" t="s">
        <v>21</v>
      </c>
      <c r="F15" s="2">
        <f>1-('[7]yoll_Europe (20)'!$E$37+'[7]yoll_Europe (20)'!$E$61)/('[8]2015_yoll_Europe_v6b'!$E$37+'[8]2015_yoll_Europe_v6b'!$E$61)</f>
        <v>0.50522093440212168</v>
      </c>
      <c r="G15" s="2">
        <f t="shared" si="1"/>
        <v>0.51</v>
      </c>
      <c r="H15" t="s">
        <v>26</v>
      </c>
      <c r="I15" t="s">
        <v>26</v>
      </c>
      <c r="J15" s="2">
        <f>1-'[3]bio_critical_load (1)'!$E$52/'[4]2015_bio_critical_load_v6b'!$E$52</f>
        <v>0.54816509292351689</v>
      </c>
      <c r="K15" s="2">
        <f t="shared" si="2"/>
        <v>0.55000000000000004</v>
      </c>
      <c r="L15" t="s">
        <v>28</v>
      </c>
      <c r="M15" t="str">
        <f t="shared" si="0"/>
        <v>v6b_Pop-aging_Domain_PMH:0.51_O3H:?_AAE:0.55</v>
      </c>
    </row>
    <row r="16" spans="2:13" ht="18.600000000000001" thickBot="1" x14ac:dyDescent="0.35">
      <c r="B16" s="1" t="s">
        <v>16</v>
      </c>
      <c r="C16" t="s">
        <v>25</v>
      </c>
      <c r="D16" t="s">
        <v>31</v>
      </c>
      <c r="E16" t="s">
        <v>21</v>
      </c>
      <c r="F16" s="2">
        <f>1-('[7]yoll_Europe (21)'!$E$37+'[7]yoll_Europe (21)'!$E$61)/('[8]2015_yoll_Europe_v6b'!$E$37+'[8]2015_yoll_Europe_v6b'!$E$61)</f>
        <v>0.50509785457625034</v>
      </c>
      <c r="G16" s="2">
        <f t="shared" si="1"/>
        <v>0.51</v>
      </c>
      <c r="H16" t="s">
        <v>26</v>
      </c>
      <c r="I16" t="s">
        <v>26</v>
      </c>
      <c r="J16" s="2">
        <f>1-'[3]bio_critical_load (3)'!$E$52/'[4]2015_bio_critical_load_v6b'!$E$52</f>
        <v>0.56159457827019299</v>
      </c>
      <c r="K16" s="2">
        <f t="shared" si="2"/>
        <v>0.56000000000000005</v>
      </c>
      <c r="L16" t="s">
        <v>28</v>
      </c>
      <c r="M16" t="str">
        <f t="shared" si="0"/>
        <v>v6b_Pop-aging_Domain_PMH:0.51_O3H:?_AAE:0.56</v>
      </c>
    </row>
    <row r="17" spans="2:13" ht="18.600000000000001" thickBot="1" x14ac:dyDescent="0.35">
      <c r="B17" s="1" t="s">
        <v>14</v>
      </c>
      <c r="C17" t="s">
        <v>25</v>
      </c>
      <c r="D17" t="s">
        <v>31</v>
      </c>
      <c r="E17" t="s">
        <v>21</v>
      </c>
      <c r="F17" s="2">
        <f>1-('[7]yoll_Europe (22)'!$E$37+'[7]yoll_Europe (22)'!$E$61)/('[8]2015_yoll_Europe_v6b'!$E$37+'[8]2015_yoll_Europe_v6b'!$E$61)</f>
        <v>0.50511820773411265</v>
      </c>
      <c r="G17" s="2">
        <f t="shared" si="1"/>
        <v>0.51</v>
      </c>
      <c r="H17" t="s">
        <v>26</v>
      </c>
      <c r="I17" t="s">
        <v>26</v>
      </c>
      <c r="J17" s="2">
        <f>1-'[3]bio_critical_load (4)'!$E$52/'[4]2015_bio_critical_load_v6b'!$E$52</f>
        <v>0.63493692280200142</v>
      </c>
      <c r="K17" s="2">
        <f t="shared" si="2"/>
        <v>0.63</v>
      </c>
      <c r="L17" t="s">
        <v>28</v>
      </c>
      <c r="M17" t="str">
        <f t="shared" ref="M17:M20" si="3">CONCATENATE(C17,"_",D17,"_",E17,"_PMH:",G17,"_O3H:",I17,"_AAE:",K17)</f>
        <v>v6b_Pop-aging_Domain_PMH:0.51_O3H:?_AAE:0.63</v>
      </c>
    </row>
    <row r="18" spans="2:13" ht="18.600000000000001" thickBot="1" x14ac:dyDescent="0.35">
      <c r="B18" s="1" t="s">
        <v>17</v>
      </c>
      <c r="C18" t="s">
        <v>25</v>
      </c>
      <c r="D18" t="s">
        <v>31</v>
      </c>
      <c r="E18" t="s">
        <v>21</v>
      </c>
      <c r="F18" s="2">
        <f>1-('[7]yoll_Europe (23)'!$E$37+'[7]yoll_Europe (23)'!$E$61)/('[8]2015_yoll_Europe_v6b'!$E$37+'[8]2015_yoll_Europe_v6b'!$E$61)</f>
        <v>0.50516459196941255</v>
      </c>
      <c r="G18" s="2">
        <f t="shared" si="1"/>
        <v>0.51</v>
      </c>
      <c r="H18" t="s">
        <v>26</v>
      </c>
      <c r="I18" t="s">
        <v>26</v>
      </c>
      <c r="J18" s="2">
        <f>1-'[3]bio_critical_load (5)'!$E$52/'[4]2015_bio_critical_load_v6b'!$E$52</f>
        <v>0.56188254824874906</v>
      </c>
      <c r="K18" s="2">
        <f t="shared" si="2"/>
        <v>0.56000000000000005</v>
      </c>
      <c r="L18" t="s">
        <v>28</v>
      </c>
      <c r="M18" t="str">
        <f t="shared" si="3"/>
        <v>v6b_Pop-aging_Domain_PMH:0.51_O3H:?_AAE:0.56</v>
      </c>
    </row>
    <row r="19" spans="2:13" ht="18.600000000000001" thickBot="1" x14ac:dyDescent="0.35">
      <c r="B19" s="1" t="s">
        <v>15</v>
      </c>
      <c r="C19" t="s">
        <v>25</v>
      </c>
      <c r="D19" t="s">
        <v>31</v>
      </c>
      <c r="E19" t="s">
        <v>21</v>
      </c>
      <c r="F19" s="2">
        <f>1-('[7]yoll_Europe (24)'!$E$37+'[7]yoll_Europe (24)'!$E$61)/('[8]2015_yoll_Europe_v6b'!$E$37+'[8]2015_yoll_Europe_v6b'!$E$61)</f>
        <v>0.50512851534195713</v>
      </c>
      <c r="G19" s="2">
        <f t="shared" si="1"/>
        <v>0.51</v>
      </c>
      <c r="H19" t="s">
        <v>26</v>
      </c>
      <c r="I19" t="s">
        <v>26</v>
      </c>
      <c r="J19" s="2">
        <f>1-'[3]bio_critical_load (6)'!$E$52/'[4]2015_bio_critical_load_v6b'!$E$52</f>
        <v>0.58766577197998571</v>
      </c>
      <c r="K19" s="2">
        <f t="shared" si="2"/>
        <v>0.59</v>
      </c>
      <c r="L19" t="s">
        <v>28</v>
      </c>
      <c r="M19" t="str">
        <f t="shared" si="3"/>
        <v>v6b_Pop-aging_Domain_PMH:0.51_O3H:?_AAE:0.59</v>
      </c>
    </row>
    <row r="20" spans="2:13" ht="18.600000000000001" thickBot="1" x14ac:dyDescent="0.35">
      <c r="B20" s="1" t="s">
        <v>13</v>
      </c>
      <c r="C20" t="s">
        <v>25</v>
      </c>
      <c r="D20" t="s">
        <v>31</v>
      </c>
      <c r="E20" t="s">
        <v>21</v>
      </c>
      <c r="F20" s="2">
        <f>1-('[7]yoll_Europe (25)'!$E$37+'[7]yoll_Europe (25)'!$E$61)/('[8]2015_yoll_Europe_v6b'!$E$37+'[8]2015_yoll_Europe_v6b'!$E$61)</f>
        <v>0.50500098053303433</v>
      </c>
      <c r="G20" s="2">
        <f t="shared" si="1"/>
        <v>0.51</v>
      </c>
      <c r="H20" t="s">
        <v>26</v>
      </c>
      <c r="I20" t="s">
        <v>26</v>
      </c>
      <c r="J20" s="2">
        <f>1-'[3]bio_critical_load (7)'!$E$52/'[4]2015_bio_critical_load_v6b'!$E$52</f>
        <v>0.64511808791994285</v>
      </c>
      <c r="K20" s="2">
        <f t="shared" si="2"/>
        <v>0.65</v>
      </c>
      <c r="L20" t="s">
        <v>28</v>
      </c>
      <c r="M20" t="str">
        <f t="shared" si="3"/>
        <v>v6b_Pop-aging_Domain_PMH:0.51_O3H:?_AAE:0.65</v>
      </c>
    </row>
    <row r="21" spans="2:13" ht="15" thickBot="1" x14ac:dyDescent="0.35"/>
    <row r="22" spans="2:13" ht="18.600000000000001" thickBot="1" x14ac:dyDescent="0.35">
      <c r="B22" s="1"/>
      <c r="J22" s="2"/>
      <c r="K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2026-04-21T16:50:42Z</dcterms:created>
  <dcterms:modified xsi:type="dcterms:W3CDTF">2026-04-22T08:22:58Z</dcterms:modified>
</cp:coreProperties>
</file>